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fb1a7313d45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egables" sheetId="3" r:id="R81f8b5b0bc86437e"/>
    <x:sheet xmlns:r="http://schemas.openxmlformats.org/officeDocument/2006/relationships" name="Tareas" sheetId="4" r:id="R644146e4f9fd4e68"/>
    <x:sheet xmlns:r="http://schemas.openxmlformats.org/officeDocument/2006/relationships" name="Riesgos" sheetId="6" r:id="Rfd6e14cb710a4c4b"/>
  </x:sheets>
</x:workbook>
</file>

<file path=xl/sharedStrings.xml><?xml version="1.0" encoding="utf-8"?>
<x:sst xmlns:x="http://schemas.openxmlformats.org/spreadsheetml/2006/main">
  <x:si>
    <x:t xml:space="preserve">Cronograma de entregables — Semanas 06 a 15</x:t>
  </x:si>
  <x:si>
    <x:t xml:space="preserve">Proyecto 8 · Riesgo de inundación por Monte Carlo · Estado y avance se calculan automáticamente desde la hoja «Tareas».</x:t>
  </x:si>
  <x:si>
    <x:t xml:space="preserve">ID</x:t>
  </x:si>
  <x:si>
    <x:t xml:space="preserve">Sem.</x:t>
  </x:si>
  <x:si>
    <x:t xml:space="preserve">Semana: del</x:t>
  </x:si>
  <x:si>
    <x:t xml:space="preserve">al</x:t>
  </x:si>
  <x:si>
    <x:t xml:space="preserve">Corte interno (mar. 23:59)</x:t>
  </x:si>
  <x:si>
    <x:t xml:space="preserve">Entregable</x:t>
  </x:si>
  <x:si>
    <x:t xml:space="preserve">Contenido</x:t>
  </x:si>
  <x:si>
    <x:t xml:space="preserve">Criterio de aceptación (se da por cumplido si…)</x:t>
  </x:si>
  <x:si>
    <x:t xml:space="preserve">Evidencia a presentar</x:t>
  </x:si>
  <x:si>
    <x:t xml:space="preserve">Criterio de rúbrica</x:t>
  </x:si>
  <x:si>
    <x:t xml:space="preserve">Resp. (rol)</x:t>
  </x:si>
  <x:si>
    <x:t xml:space="preserve">Responsable</x:t>
  </x:si>
  <x:si>
    <x:t xml:space="preserve">N.º tareas</x:t>
  </x:si>
  <x:si>
    <x:t xml:space="preserve">% avance</x:t>
  </x:si>
  <x:si>
    <x:t xml:space="preserve">Estado</x:t>
  </x:si>
  <x:si>
    <x:t xml:space="preserve">Alerta de calendario</x:t>
  </x:si>
  <x:si>
    <x:t xml:space="preserve">E1</x:t>
  </x:si>
  <x:si>
    <x:t xml:space="preserve">Línea base del proyecto</x:t>
  </x:si>
  <x:si>
    <x:t xml:space="preserve">5, 6</x:t>
  </x:si>
  <x:si>
    <x:t xml:space="preserve">R1</x:t>
  </x:si>
  <x:si>
    <x:t xml:space="preserve">E2</x:t>
  </x:si>
  <x:si>
    <x:t xml:space="preserve">Modelo secuencial calibrado</x:t>
  </x:si>
  <x:si>
    <x:t xml:space="preserve">Control de calidad de series; clasificación de años normal / El Niño; calibración Markov + gamma; núcleo secuencial en C con Philox; estimadores (Wilson, histograma); medición de T₁.</x:t>
  </x:si>
  <x:si>
    <x:t xml:space="preserve">Pruebas V6 (error ≤ 10 % en estadísticos) y V7 (caso analítico) superadas; T₁ medido en la máquina de referencia; carga oficial confirmada.</x:t>
  </x:si>
  <x:si>
    <x:t xml:space="preserve">Informe de validación (tabla observado vs. simulado); resultados de pruebas en CI; CSV de tiempos.</x:t>
  </x:si>
  <x:si>
    <x:t xml:space="preserve">2</x:t>
  </x:si>
  <x:si>
    <x:t xml:space="preserve">R2</x:t>
  </x:si>
  <x:si>
    <x:t xml:space="preserve">E3</x:t>
  </x:si>
  <x:si>
    <x:t xml:space="preserve">Versión OpenMP</x:t>
  </x:si>
  <x:si>
    <x:t xml:space="preserve">1, 2</x:t>
  </x:si>
  <x:si>
    <x:t xml:space="preserve">R3</x:t>
  </x:si>
  <x:si>
    <x:t xml:space="preserve">E4</x:t>
  </x:si>
  <x:si>
    <x:t xml:space="preserve">MPI con dos esquemas</x:t>
  </x:si>
  <x:si>
    <x:t xml:space="preserve">1, 4</x:t>
  </x:si>
  <x:si>
    <x:t xml:space="preserve">E5</x:t>
  </x:si>
  <x:si>
    <x:t xml:space="preserve">Híbrido multi-nodo</x:t>
  </x:si>
  <x:si>
    <x:t xml:space="preserve">Log de Swarm (docker node ls, mpirun); CSV de la prueba; secciones 1–4 del informe; acta de la puerta de extensiones.</x:t>
  </x:si>
  <x:si>
    <x:t xml:space="preserve">3, 5</x:t>
  </x:si>
  <x:si>
    <x:t xml:space="preserve">R5</x:t>
  </x:si>
  <x:si>
    <x:t xml:space="preserve">E6</x:t>
  </x:si>
  <x:si>
    <x:t xml:space="preserve">Análisis de rendimiento</x:t>
  </x:si>
  <x:si>
    <x:t xml:space="preserve">CSV de X1–X4 con metadatos de hardware; gráficos de speedup, eficiencia y Karp–Flatt.</x:t>
  </x:si>
  <x:si>
    <x:t xml:space="preserve">2, 4</x:t>
  </x:si>
  <x:si>
    <x:t xml:space="preserve">E7</x:t>
  </x:si>
  <x:si>
    <x:t xml:space="preserve">Resultados de la simulación</x:t>
  </x:si>
  <x:si>
    <x:t xml:space="preserve">Campaña oficial X6 (1,3 × 10¹⁰ escenarios) en el clúster CPU; probabilidad de inundación con IC de Wilson y banda epistémica por zona, capacidad y régimen; curva riesgo–capacidad.</x:t>
  </x:si>
  <x:si>
    <x:t xml:space="preserve">X6 ejecutada y respaldada; tablas y curvas generadas por script; sección de resultados del informe redactada.</x:t>
  </x:si>
  <x:si>
    <x:t xml:space="preserve">CSV de X6; tablas y curvas riesgo–capacidad.</x:t>
  </x:si>
  <x:si>
    <x:t xml:space="preserve">2, 3</x:t>
  </x:si>
  <x:si>
    <x:t xml:space="preserve">E8</x:t>
  </x:si>
  <x:si>
    <x:t xml:space="preserve">Sensibilidad y código final</x:t>
  </x:si>
  <x:si>
    <x:t xml:space="preserve">Experimento X7 (umbral U = 30/50/80 mm y año normal vs. El Niño); integración de extensiones listas; congelamiento del código (tag v1.0) con README de reproducción; figuras finales.</x:t>
  </x:si>
  <x:si>
    <x:t xml:space="preserve">X7 completo; tag v1.0 publicado; un comando reproduce cualquier experimento desde el README.</x:t>
  </x:si>
  <x:si>
    <x:t xml:space="preserve">CSV y gráficos de X7; tag v1.0; README.</x:t>
  </x:si>
  <x:si>
    <x:t xml:space="preserve">3, 4, 5</x:t>
  </x:si>
  <x:si>
    <x:t xml:space="preserve">E9</x:t>
  </x:si>
  <x:si>
    <x:t xml:space="preserve">Informe técnico</x:t>
  </x:si>
  <x:si>
    <x:t xml:space="preserve">Integración del informe en formato IEEE a partir de las secciones redactadas desde S10: problema, modelo, arquitectura, correctitud, rendimiento, resultados y fundamentación IEEE.</x:t>
  </x:si>
  <x:si>
    <x:t xml:space="preserve">Informe completo entregado; cada artículo IEEE vinculado a una decisión de diseño; anexo de reproducibilidad.</x:t>
  </x:si>
  <x:si>
    <x:t xml:space="preserve">Informe técnico (PDF).</x:t>
  </x:si>
  <x:si>
    <x:t xml:space="preserve">2, 6</x:t>
  </x:si>
  <x:si>
    <x:t xml:space="preserve">R6</x:t>
  </x:si>
  <x:si>
    <x:t xml:space="preserve">E10</x:t>
  </x:si>
  <x:si>
    <x:t xml:space="preserve">Exposición y entrega final</x:t>
  </x:si>
  <x:si>
    <x:t xml:space="preserve">Presentación con demostración en vivo en el clúster; entrega del paquete final (informe, repositorio v1.0, presentación).</x:t>
  </x:si>
  <x:si>
    <x:t xml:space="preserve">Presentación; enlace al repositorio v1.0; informe.</x:t>
  </x:si>
  <x:si>
    <x:t xml:space="preserve">Todos</x:t>
  </x:si>
  <x:si>
    <x:t xml:space="preserve">Puerta de extensiones:</x:t>
  </x:si>
  <x:si>
    <x:t xml:space="preserve">Extensiones (se activan solo si la puerta lo permite; nunca bloquean el núcleo)</x:t>
  </x:si>
  <x:si>
    <x:t xml:space="preserve">EXT1</x:t>
  </x:si>
  <x:si>
    <x:t xml:space="preserve">Extensión CUDA</x:t>
  </x:si>
  <x:si>
    <x:t xml:space="preserve">1</x:t>
  </x:si>
  <x:si>
    <x:t xml:space="preserve">R4</x:t>
  </x:si>
  <x:si>
    <x:t xml:space="preserve">Extensión: no afecta la nota mínima del núcleo.</x:t>
  </x:si>
  <x:si>
    <x:t xml:space="preserve">EXT2</x:t>
  </x:si>
  <x:si>
    <x:t xml:space="preserve">Extensión nodo GPU heterogéneo</x:t>
  </x:si>
  <x:si>
    <x:t xml:space="preserve">Corrida C5 integrada antes del congelamiento de E8; si no, se reporta CUDA como C4 aislado.</x:t>
  </x:si>
  <x:si>
    <x:t xml:space="preserve">Log y CSV de C5.</x:t>
  </x:si>
  <x:si>
    <x:t xml:space="preserve">3, 4</x:t>
  </x:si>
  <x:si>
    <x:t xml:space="preserve">Cada entregable se revisa en la clase de su semana; el trabajo se realiza hasta el corte interno. Fechas: lunes = Parámetros!B5 + (sem−1)×7. Revisión = lunes + día de revisión − 1 (jueves). Corte interno = 23:59 del día de revisión − horas de corte (martes 23:59). Estado: «Atrasado» si la fecha de revisión pasó sin 100 % de avance.</x:t>
  </x:si>
  <x:si>
    <x:t xml:space="preserve">Tareas y diagrama de Gantt</x:t>
  </x:si>
  <x:si>
    <x:t xml:space="preserve">Entreg.</x:t>
  </x:si>
  <x:si>
    <x:t xml:space="preserve">Tarea</x:t>
  </x:si>
  <x:si>
    <x:t xml:space="preserve">Resp.</x:t>
  </x:si>
  <x:si>
    <x:t xml:space="preserve">Sem. inicio</x:t>
  </x:si>
  <x:si>
    <x:t xml:space="preserve">Sem. fin</x:t>
  </x:si>
  <x:si>
    <x:t xml:space="preserve">Fecha límite (corte)</x:t>
  </x:si>
  <x:si>
    <x:t xml:space="preserve">Criterio de terminado</x:t>
  </x:si>
  <x:si>
    <x:t xml:space="preserve">S06</x:t>
  </x:si>
  <x:si>
    <x:t xml:space="preserve">S07</x:t>
  </x:si>
  <x:si>
    <x:t xml:space="preserve">S08</x:t>
  </x:si>
  <x:si>
    <x:t xml:space="preserve">S09</x:t>
  </x:si>
  <x:si>
    <x:t xml:space="preserve">S10</x:t>
  </x:si>
  <x:si>
    <x:t xml:space="preserve">S11</x:t>
  </x:si>
  <x:si>
    <x:t xml:space="preserve">S12</x:t>
  </x:si>
  <x:si>
    <x:t xml:space="preserve">S13</x:t>
  </x:si>
  <x:si>
    <x:t xml:space="preserve">S14</x:t>
  </x:si>
  <x:si>
    <x:t xml:space="preserve">S15</x:t>
  </x:si>
  <x:si>
    <x:t xml:space="preserve">T01</x:t>
  </x:si>
  <x:si>
    <x:t xml:space="preserve">T02</x:t>
  </x:si>
  <x:si>
    <x:t xml:space="preserve">T03</x:t>
  </x:si>
  <x:si>
    <x:t xml:space="preserve">T04</x:t>
  </x:si>
  <x:si>
    <x:t xml:space="preserve">T05</x:t>
  </x:si>
  <x:si>
    <x:t xml:space="preserve">T06</x:t>
  </x:si>
  <x:si>
    <x:t xml:space="preserve">T07</x:t>
  </x:si>
  <x:si>
    <x:t xml:space="preserve">T08</x:t>
  </x:si>
  <x:si>
    <x:t xml:space="preserve">T09</x:t>
  </x:si>
  <x:si>
    <x:t xml:space="preserve">T10</x:t>
  </x:si>
  <x:si>
    <x:t xml:space="preserve">T11</x:t>
  </x:si>
  <x:si>
    <x:t xml:space="preserve">T12</x:t>
  </x:si>
  <x:si>
    <x:t xml:space="preserve">T13</x:t>
  </x:si>
  <x:si>
    <x:t xml:space="preserve">T14</x:t>
  </x:si>
  <x:si>
    <x:t xml:space="preserve">T15</x:t>
  </x:si>
  <x:si>
    <x:t xml:space="preserve">T16</x:t>
  </x:si>
  <x:si>
    <x:t xml:space="preserve">T17</x:t>
  </x:si>
  <x:si>
    <x:t xml:space="preserve">T18</x:t>
  </x:si>
  <x:si>
    <x:t xml:space="preserve">T19</x:t>
  </x:si>
  <x:si>
    <x:t xml:space="preserve">No iniciado</x:t>
  </x:si>
  <x:si>
    <x:t xml:space="preserve">T20</x:t>
  </x:si>
  <x:si>
    <x:t xml:space="preserve">T21</x:t>
  </x:si>
  <x:si>
    <x:t xml:space="preserve">T22</x:t>
  </x:si>
  <x:si>
    <x:t xml:space="preserve">T23</x:t>
  </x:si>
  <x:si>
    <x:t xml:space="preserve">T24</x:t>
  </x:si>
  <x:si>
    <x:t xml:space="preserve">T25</x:t>
  </x:si>
  <x:si>
    <x:t xml:space="preserve">T26</x:t>
  </x:si>
  <x:si>
    <x:t xml:space="preserve">T27</x:t>
  </x:si>
  <x:si>
    <x:t xml:space="preserve">T28</x:t>
  </x:si>
  <x:si>
    <x:t xml:space="preserve">T29</x:t>
  </x:si>
  <x:si>
    <x:t xml:space="preserve">T30</x:t>
  </x:si>
  <x:si>
    <x:t xml:space="preserve">T31</x:t>
  </x:si>
  <x:si>
    <x:t xml:space="preserve">T32</x:t>
  </x:si>
  <x:si>
    <x:t xml:space="preserve">T33</x:t>
  </x:si>
  <x:si>
    <x:t xml:space="preserve">T34</x:t>
  </x:si>
  <x:si>
    <x:t xml:space="preserve">T35</x:t>
  </x:si>
  <x:si>
    <x:t xml:space="preserve">T36</x:t>
  </x:si>
  <x:si>
    <x:t xml:space="preserve">T37</x:t>
  </x:si>
  <x:si>
    <x:t xml:space="preserve">T38</x:t>
  </x:si>
  <x:si>
    <x:t xml:space="preserve">T39</x:t>
  </x:si>
  <x:si>
    <x:t xml:space="preserve">T40</x:t>
  </x:si>
  <x:si>
    <x:t xml:space="preserve">T41</x:t>
  </x:si>
  <x:si>
    <x:t xml:space="preserve">T42</x:t>
  </x:si>
  <x:si>
    <x:t xml:space="preserve">T43</x:t>
  </x:si>
  <x:si>
    <x:t xml:space="preserve">T44</x:t>
  </x:si>
  <x:si>
    <x:t xml:space="preserve">T45</x:t>
  </x:si>
  <x:si>
    <x:t xml:space="preserve">T46</x:t>
  </x:si>
  <x:si>
    <x:t xml:space="preserve">T47</x:t>
  </x:si>
  <x:si>
    <x:t xml:space="preserve">T48</x:t>
  </x:si>
  <x:si>
    <x:t xml:space="preserve">T49</x:t>
  </x:si>
  <x:si>
    <x:t xml:space="preserve">T50</x:t>
  </x:si>
  <x:si>
    <x:t xml:space="preserve">T51</x:t>
  </x:si>
  <x:si>
    <x:t xml:space="preserve">T52</x:t>
  </x:si>
  <x:si>
    <x:t xml:space="preserve">T53</x:t>
  </x:si>
  <x:si>
    <x:t xml:space="preserve">Leyenda del Gantt:</x:t>
  </x:si>
  <x:si>
    <x:t xml:space="preserve">Planificada (núcleo)</x:t>
  </x:si>
  <x:si>
    <x:t xml:space="preserve">Planificada (extensión)</x:t>
  </x:si>
  <x:si>
    <x:t xml:space="preserve">Completada</x:t>
  </x:si>
  <x:si>
    <x:t xml:space="preserve">En riesgo</x:t>
  </x:si>
  <x:si>
    <x:t xml:space="preserve">Vencida sin completar</x:t>
  </x:si>
  <x:si>
    <x:t xml:space="preserve">Semana actual</x:t>
  </x:si>
  <x:si>
    <x:t xml:space="preserve">Semana de examen parcial (encabezado)</x:t>
  </x:si>
  <x:si>
    <x:t xml:space="preserve">Registro de riesgos</x:t>
  </x:si>
  <x:si>
    <x:t xml:space="preserve">Probabilidad e impacto: 1 = bajo, 2 = medio, 3 = alto. Nivel = P × I (≥ 6 alto, 3–4 medio, ≤ 2 bajo).</x:t>
  </x:si>
  <x:si>
    <x:t xml:space="preserve">Riesgo</x:t>
  </x:si>
  <x:si>
    <x:t xml:space="preserve">Prob.</x:t>
  </x:si>
  <x:si>
    <x:t xml:space="preserve">Impacto</x:t>
  </x:si>
  <x:si>
    <x:t xml:space="preserve">Nivel</x:t>
  </x:si>
  <x:si>
    <x:t xml:space="preserve">Clasificación</x:t>
  </x:si>
  <x:si>
    <x:t xml:space="preserve">Mitigación preventiva</x:t>
  </x:si>
  <x:si>
    <x:t xml:space="preserve">Disparador (fecha fija)</x:t>
  </x:si>
  <x:si>
    <x:t xml:space="preserve">Sem. de decisión</x:t>
  </x:si>
  <x:si>
    <x:t xml:space="preserve">Plan de contingencia</x:t>
  </x:si>
  <x:si>
    <x:t xml:space="preserve">K01</x:t>
  </x:si>
  <x:si>
    <x:t xml:space="preserve">Docker Swarm multi-nodo falla por restricciones de red</x:t>
  </x:si>
  <x:si>
    <x:t xml:space="preserve">Probar Swarm en red doméstica o hotspot desde S09; documentar puertos 2377, 7946, 4789.</x:t>
  </x:si>
  <x:si>
    <x:t xml:space="preserve">Swarm no ejecuta el híbrido el jueves de S10</x:t>
  </x:si>
  <x:si>
    <x:t xml:space="preserve">Desplegar en VMs de la nube con la misma imagen (T3).</x:t>
  </x:si>
  <x:si>
    <x:t xml:space="preserve">Abierto</x:t>
  </x:si>
  <x:si>
    <x:t xml:space="preserve">K02</x:t>
  </x:si>
  <x:si>
    <x:t xml:space="preserve">No hay GPU NVIDIA disponible en el equipo</x:t>
  </x:si>
  <x:si>
    <x:t xml:space="preserve">Inventariar hardware en S06.</x:t>
  </x:si>
  <x:si>
    <x:t xml:space="preserve">Sin equipo GPU confirmado al cierre de S09</x:t>
  </x:si>
  <x:si>
    <x:t xml:space="preserve">CUDA en Google Colab como configuración C4 aislada; C5 se omite y se justifica.</x:t>
  </x:si>
  <x:si>
    <x:t xml:space="preserve">K03</x:t>
  </x:si>
  <x:si>
    <x:t xml:space="preserve">Series SENAMHI incompletas o de baja calidad</x:t>
  </x:si>
  <x:si>
    <x:t xml:space="preserve">Descargar 3–5 estaciones candidatas; criterio &lt; 10 % de faltantes.</x:t>
  </x:si>
  <x:si>
    <x:t xml:space="preserve">Menos de 3 estaciones válidas al cierre de S06</x:t>
  </x:si>
  <x:si>
    <x:t xml:space="preserve">Usar estaciones vecinas o reducir a 3 zonas.</x:t>
  </x:si>
  <x:si>
    <x:t xml:space="preserve">K04</x:t>
  </x:si>
  <x:si>
    <x:t xml:space="preserve">Resultados paralelos distintos de la versión secuencial</x:t>
  </x:si>
  <x:si>
    <x:t xml:space="preserve">Philox basado en contador; prueba V1 bit a bit en CI.</x:t>
  </x:si>
  <x:si>
    <x:t xml:space="preserve">V1 falla en CI</x:t>
  </x:si>
  <x:si>
    <x:t xml:space="preserve">Bloquear merges hasta corregir; revisar índice/clave del generador.</x:t>
  </x:si>
  <x:si>
    <x:t xml:space="preserve">K05</x:t>
  </x:si>
  <x:si>
    <x:t xml:space="preserve">K06</x:t>
  </x:si>
  <x:si>
    <x:t xml:space="preserve">Carga académica del examen parcial (S08)</x:t>
  </x:si>
  <x:si>
    <x:t xml:space="preserve">S08 planificada con carga reducida.</x:t>
  </x:si>
  <x:si>
    <x:t xml:space="preserve">—</x:t>
  </x:si>
  <x:si>
    <x:t xml:space="preserve">Mover tareas no críticas a S09.</x:t>
  </x:si>
  <x:si>
    <x:t xml:space="preserve">K07</x:t>
  </x:si>
  <x:si>
    <x:t xml:space="preserve">Ausencia prolongada de un integrante</x:t>
  </x:si>
  <x:si>
    <x:t xml:space="preserve">Respaldo asignado por rol.</x:t>
  </x:si>
  <x:si>
    <x:t xml:space="preserve">2 reuniones seguidas sin asistencia</x:t>
  </x:si>
  <x:si>
    <x:t xml:space="preserve">El respaldo asume el rol; se redistribuyen tareas.</x:t>
  </x:si>
  <x:si>
    <x:t xml:space="preserve">K08</x:t>
  </x:si>
  <x:si>
    <x:t xml:space="preserve">Aumentar N por conjunto; convertir EXT1 en núcleo y mover X4 a S10.</x:t>
  </x:si>
  <x:si>
    <x:t xml:space="preserve">K09</x:t>
  </x:si>
  <x:si>
    <x:t xml:space="preserve">Tiempos muy cortos → el ruido domina la medición</x:t>
  </x:si>
  <x:si>
    <x:t xml:space="preserve">Escalones de carga; 5 repeticiones y corrida de calentamiento.</x:t>
  </x:si>
  <x:si>
    <x:t xml:space="preserve">Desviación estándar &gt; 5 % de la media</x:t>
  </x:si>
  <x:si>
    <x:t xml:space="preserve">Aumentar N en el escalón de benchmark.</x:t>
  </x:si>
  <x:si>
    <x:t xml:space="preserve">K10</x:t>
  </x:si>
  <x:si>
    <x:t xml:space="preserve">Diferencias numéricas CPU / GPU</x:t>
  </x:si>
  <x:si>
    <x:t xml:space="preserve">Compilar con -fmad=false; tolerancia documentada.</x:t>
  </x:si>
  <x:si>
    <x:t xml:space="preserve">V2 &gt; 10⁻⁶</x:t>
  </x:si>
  <x:si>
    <x:t xml:space="preserve">Documentar la diferencia y su causa en el informe.</x:t>
  </x:si>
  <x:si>
    <x:t xml:space="preserve">K11</x:t>
  </x:si>
  <x:si>
    <x:t xml:space="preserve">Plan B: calibrar con la grilla PISCOp v2.1 (SENAMHI, diaria, 0,1°, 1981–2018; ≈ 10⁸ valores) procesada en paralelo; la arquitectura no cambia.</x:t>
  </x:si>
  <x:si>
    <x:t xml:space="preserve">K12</x:t>
  </x:si>
  <x:si>
    <x:t xml:space="preserve">Costo real por escenario mayor al estimado</x:t>
  </x:si>
  <x:si>
    <x:t xml:space="preserve">Re-medir T₁ en S07 (tarea T14) en la máquina de referencia.</x:t>
  </x:si>
  <x:si>
    <x:t xml:space="preserve">T₁ medido &gt; 10 µs por escenario</x:t>
  </x:si>
  <x:si>
    <x:t xml:space="preserve">Mantener K = 100 y bajar N por conjunto a 5 × 10⁵, o reducir capacidades a 7; la carga sigue siendo de horas en un núcleo.</x:t>
  </x:si>
  <x:si>
    <x:t xml:space="preserve">K13</x:t>
  </x:si>
  <x:si>
    <x:t xml:space="preserve">La demostración en vivo falla durante la exposición</x:t>
  </x:si>
  <x:si>
    <x:t xml:space="preserve">Clúster levantado y probado el día anterior; resultados precalculados y capturas de ejecución.</x:t>
  </x:si>
  <x:si>
    <x:t xml:space="preserve">Falla en la prueba del miércoles 02/12</x:t>
  </x:si>
  <x:si>
    <x:t xml:space="preserve">Presentar los resultados precalculados y los logs de ejecución.</x:t>
  </x:si>
</x:sst>
</file>

<file path=xl/styles.xml><?xml version="1.0" encoding="utf-8"?>
<x:styleSheet xmlns:x="http://schemas.openxmlformats.org/spreadsheetml/2006/main">
  <x:numFmts count="14">
    <x:numFmt numFmtId="164" formatCode="General"/>
    <x:numFmt numFmtId="165" formatCode="dd/mm/yyyy"/>
    <x:numFmt numFmtId="166" formatCode="0"/>
    <x:numFmt numFmtId="167" formatCode="0%"/>
    <x:numFmt numFmtId="168" formatCode="@"/>
    <x:numFmt numFmtId="169" formatCode="ddd\ dd/mm/yyyy"/>
    <x:numFmt numFmtId="170" formatCode="General"/>
    <x:numFmt numFmtId="171" formatCode="ddd\ dd/mm"/>
    <x:numFmt numFmtId="172" formatCode="dd/mm/yy"/>
    <x:numFmt numFmtId="173" formatCode="dd/mm/yy\ hh:mm"/>
    <x:numFmt numFmtId="174" formatCode="ddd\ dd/mm\ hh:mm"/>
    <x:numFmt numFmtId="175" formatCode=";;;"/>
    <x:numFmt numFmtId="176" formatCode="ddd\ dd/mm&quot; (clase)&quot;"/>
    <x:numFmt numFmtId="177" formatCode="ddd\ dd/mm/yy"/>
  </x:numFmts>
  <x:fonts count="30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8"/>
      <x:color rgb="FF1F3864"/>
      <x:name val="Arial"/>
    </x:font>
    <x:font>
      <x:i/>
      <x:sz val="11"/>
      <x:color rgb="FF595959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  <x:font>
      <x:b/>
      <x:sz val="11"/>
      <x:color rgb="FF000000"/>
      <x:name val="Arial"/>
    </x:font>
    <x:font>
      <x:sz val="10"/>
      <x:color rgb="FF008000"/>
      <x:name val="Arial"/>
    </x:font>
    <x:font>
      <x:b/>
      <x:sz val="12"/>
      <x:color rgb="FF1F3864"/>
      <x:name val="Arial"/>
    </x:font>
    <x:font>
      <x:sz val="10"/>
      <x:name val="Arial"/>
    </x:font>
    <x:font>
      <x:i/>
      <x:sz val="9"/>
      <x:color rgb="FF595959"/>
      <x:name val="Arial"/>
    </x:font>
    <x:font>
      <x:b/>
      <x:sz val="16"/>
      <x:color rgb="FF1F3864"/>
      <x:name val="Arial"/>
    </x:font>
    <x:font>
      <x:i/>
      <x:sz val="10"/>
      <x:color rgb="FF595959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9"/>
      <x:color rgb="FF9C0006"/>
      <x:name val="Arial"/>
    </x:font>
    <x:font>
      <x:b/>
      <x:sz val="10"/>
      <x:color rgb="FF1F3864"/>
      <x:name val="Arial"/>
    </x:font>
    <x:font>
      <x:b/>
      <x:sz val="10"/>
      <x:color rgb="FF7030A0"/>
      <x:name val="Arial"/>
    </x:font>
    <x:font>
      <x:b/>
      <x:sz val="11"/>
      <x:color rgb="FF7030A0"/>
      <x:name val="Arial"/>
    </x:font>
    <x:font>
      <x:sz val="8"/>
      <x:color rgb="FF808080"/>
      <x:name val="Arial"/>
    </x:font>
    <x:font>
      <x:sz val="9"/>
      <x:color rgb="FF000000"/>
      <x:name val="Arial"/>
    </x:font>
    <x:font>
      <x:sz val="9"/>
      <x:color rgb="FF0000FF"/>
      <x:name val="Arial"/>
    </x:font>
    <x:font>
      <x:b/>
      <x:sz val="9"/>
      <x:name val="Arial"/>
    </x:font>
    <x:font>
      <x:sz val="9"/>
      <x:name val="Arial"/>
    </x:font>
    <x:font>
      <x:i/>
      <x:sz val="9"/>
      <x:color rgb="FF808080"/>
      <x:name val="Arial"/>
    </x:font>
    <x:font>
      <x:i/>
      <x:sz val="9"/>
      <x:color rgb="FF008000"/>
      <x:name val="Arial"/>
    </x:font>
    <x:font>
      <x:i/>
      <x:sz val="10"/>
      <x:color rgb="FF0000FF"/>
      <x:name val="Arial"/>
    </x:font>
    <x:font>
      <x:b/>
      <x:sz val="11"/>
      <x:color rgb="FF203864"/>
      <x:name val="Aptos"/>
      <x:family val="2"/>
    </x:font>
  </x:fonts>
  <x:fills count="13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DEEAF6"/>
      </x:patternFill>
    </x:fill>
    <x:fill>
      <x:patternFill patternType="solid">
        <x:fgColor rgb="FFFFF2CC"/>
      </x:patternFill>
    </x:fill>
    <x:fill>
      <x:patternFill patternType="solid">
        <x:fgColor rgb="FFF3EEF9"/>
      </x:patternFill>
    </x:fill>
    <x:fill>
      <x:patternFill patternType="solid">
        <x:fgColor rgb="FFC00000"/>
      </x:patternFill>
    </x:fill>
    <x:fill>
      <x:patternFill patternType="solid">
        <x:fgColor rgb="FF2E75B6"/>
      </x:patternFill>
    </x:fill>
    <x:fill>
      <x:patternFill patternType="solid">
        <x:fgColor rgb="FF8E6CC0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  <x:fill>
      <x:patternFill patternType="solid">
        <x:fgColor rgb="FFFF5B5B"/>
      </x:patternFill>
    </x:fill>
    <x:fill>
      <x:patternFill patternType="solid">
        <x:fgColor rgb="FFFFF2CC"/>
      </x:patternFill>
    </x:fill>
  </x:fills>
  <x:borders count="3">
    <x:border diagonalUp="0" diagonalDown="0">
      <x:left/>
      <x:right/>
      <x:top/>
      <x:bottom/>
      <x:diagonal/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/>
    </x:border>
    <x:border diagonalUp="0" diagonalDown="0"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86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6" fillId="0" borderId="0" xfId="0" applyFont="1" applyBorder="1" applyAlignment="1" applyProtection="0">
      <x:alignment horizontal="center" vertical="center" wrapText="1" shrinkToFit="0"/>
      <x:protection locked="1" hidden="0"/>
    </x:xf>
    <x:xf numFmtId="164" fontId="6" fillId="2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3" borderId="1" xfId="0" applyFont="1" applyBorder="1" applyAlignment="1" applyProtection="0">
      <x:alignment horizontal="left" vertical="center" wrapText="1" shrinkToFit="0"/>
      <x:protection locked="1" hidden="0"/>
    </x:xf>
    <x:xf numFmtId="165" fontId="8" fillId="0" borderId="1" xfId="0" applyFont="1" applyBorder="1" applyAlignment="1" applyProtection="0">
      <x:alignment horizontal="center" vertical="center" wrapText="1" shrinkToFit="0"/>
      <x:protection locked="1" hidden="0"/>
    </x:xf>
    <x:xf numFmtId="166" fontId="8" fillId="0" borderId="1" xfId="0" applyFont="1" applyBorder="1" applyAlignment="1" applyProtection="0">
      <x:alignment horizontal="center" vertical="center" wrapText="1" shrinkToFit="0"/>
      <x:protection locked="1" hidden="0"/>
    </x:xf>
    <x:xf numFmtId="167" fontId="8" fillId="0" borderId="1" xfId="0" applyFont="1" applyBorder="1" applyAlignment="1" applyProtection="0">
      <x:alignment horizontal="center" vertical="center" wrapText="1" shrinkToFit="0"/>
      <x:protection locked="1" hidden="0"/>
    </x:xf>
    <x:xf numFmtId="168" fontId="8" fillId="0" borderId="1" xfId="0" applyFont="1" applyBorder="1" applyAlignment="1" applyProtection="0">
      <x:alignment horizontal="center" vertical="center" wrapText="1" shrinkToFit="0"/>
      <x:protection locked="1" hidden="0"/>
    </x:xf>
    <x:xf numFmtId="169" fontId="8" fillId="0" borderId="1" xfId="0" applyFont="1" applyBorder="1" applyAlignment="1" applyProtection="0">
      <x:alignment horizontal="center" vertical="center" wrapText="1" shrinkToFit="0"/>
      <x:protection locked="1" hidden="0"/>
    </x:xf>
    <x:xf numFmtId="170" fontId="9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9" fillId="0" borderId="1" xfId="0" applyFont="1" applyBorder="1" applyAlignment="1" applyProtection="0">
      <x:alignment horizontal="left" vertical="center" wrapText="1" shrinkToFit="0"/>
      <x:protection locked="1" hidden="0"/>
    </x:xf>
    <x:xf numFmtId="171" fontId="9" fillId="0" borderId="1" xfId="0" applyFont="1" applyBorder="1" applyAlignment="1" applyProtection="0">
      <x:alignment horizontal="center" vertical="center" wrapText="1" shrinkToFit="0"/>
      <x:protection locked="1" hidden="0"/>
    </x:xf>
    <x:xf numFmtId="167" fontId="9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9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10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1" fillId="0" borderId="0" xfId="0" applyFont="1" applyBorder="1" applyAlignment="0" applyProtection="0">
      <x:alignment horizontal="general" vertical="bottom" wrapText="0" shrinkToFit="0"/>
      <x:protection locked="1" hidden="0"/>
    </x:xf>
    <x:xf numFmtId="164" fontId="12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3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5" fillId="0" borderId="1" xfId="0" applyFont="1" applyBorder="1" applyAlignment="1" applyProtection="0">
      <x:alignment horizontal="left" vertical="center" wrapText="1" shrinkToFit="0"/>
      <x:protection locked="1" hidden="0"/>
    </x:xf>
    <x:xf numFmtId="165" fontId="16" fillId="4" borderId="1" xfId="0" applyFont="1" applyBorder="1" applyAlignment="1" applyProtection="0">
      <x:alignment horizontal="center" vertical="center" wrapText="1" shrinkToFit="0"/>
      <x:protection locked="1" hidden="0"/>
    </x:xf>
    <x:xf numFmtId="164" fontId="16" fillId="4" borderId="1" xfId="0" applyFont="1" applyBorder="1" applyAlignment="1" applyProtection="0">
      <x:alignment horizontal="center" vertical="center" wrapText="1" shrinkToFit="0"/>
      <x:protection locked="1" hidden="0"/>
    </x:xf>
    <x:xf numFmtId="164" fontId="15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16" fillId="4" borderId="1" xfId="0" applyFont="1" applyBorder="1" applyAlignment="1" applyProtection="0">
      <x:alignment horizontal="left" vertical="center" wrapText="1" shrinkToFit="0"/>
      <x:protection locked="1" hidden="0"/>
    </x:xf>
    <x:xf numFmtId="169" fontId="15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3" borderId="1" xfId="0" applyFont="1" applyBorder="1" applyAlignment="1" applyProtection="0">
      <x:alignment horizontal="center" vertical="center" wrapText="1" shrinkToFit="0"/>
      <x:protection locked="1" hidden="0"/>
    </x:xf>
    <x:xf numFmtId="169" fontId="15" fillId="3" borderId="1" xfId="0" applyFont="1" applyBorder="1" applyAlignment="1" applyProtection="0">
      <x:alignment horizontal="center" vertical="center" wrapText="1" shrinkToFit="0"/>
      <x:protection locked="1" hidden="0"/>
    </x:xf>
    <x:xf numFmtId="164" fontId="15" fillId="3" borderId="1" xfId="0" applyFont="1" applyBorder="1" applyAlignment="1" applyProtection="0">
      <x:alignment horizontal="left" vertical="center" wrapText="1" shrinkToFit="0"/>
      <x:protection locked="1" hidden="0"/>
    </x:xf>
    <x:xf numFmtId="165" fontId="15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1" xfId="0" applyFont="1" applyBorder="1" applyAlignment="1" applyProtection="0">
      <x:alignment horizontal="center" vertical="center" wrapText="1" shrinkToFit="0"/>
      <x:protection locked="1" hidden="0"/>
    </x:xf>
    <x:xf numFmtId="172" fontId="15" fillId="0" borderId="1" xfId="0" applyFont="1" applyBorder="1" applyAlignment="1" applyProtection="0">
      <x:alignment horizontal="center" vertical="center" wrapText="1" shrinkToFit="0"/>
      <x:protection locked="1" hidden="0"/>
    </x:xf>
    <x:xf numFmtId="173" fontId="15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0" borderId="1" xfId="0" applyFont="1" applyBorder="1" applyAlignment="1" applyProtection="0">
      <x:alignment horizontal="left" vertical="center" wrapText="1" shrinkToFit="0"/>
      <x:protection locked="1" hidden="0"/>
    </x:xf>
    <x:xf numFmtId="167" fontId="15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17" fillId="0" borderId="1" xfId="0" applyFont="1" applyBorder="1" applyAlignment="1" applyProtection="0">
      <x:alignment horizontal="left" vertical="center" wrapText="1" shrinkToFit="0"/>
      <x:protection locked="1" hidden="0"/>
    </x:xf>
    <x:xf numFmtId="164" fontId="18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19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20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7" fillId="5" borderId="1" xfId="0" applyFont="1" applyBorder="1" applyAlignment="1" applyProtection="0">
      <x:alignment horizontal="center" vertical="center" wrapText="1" shrinkToFit="0"/>
      <x:protection locked="1" hidden="0"/>
    </x:xf>
    <x:xf numFmtId="164" fontId="15" fillId="5" borderId="1" xfId="0" applyFont="1" applyBorder="1" applyAlignment="1" applyProtection="0">
      <x:alignment horizontal="center" vertical="center" wrapText="1" shrinkToFit="0"/>
      <x:protection locked="1" hidden="0"/>
    </x:xf>
    <x:xf numFmtId="172" fontId="15" fillId="5" borderId="1" xfId="0" applyFont="1" applyBorder="1" applyAlignment="1" applyProtection="0">
      <x:alignment horizontal="center" vertical="center" wrapText="1" shrinkToFit="0"/>
      <x:protection locked="1" hidden="0"/>
    </x:xf>
    <x:xf numFmtId="173" fontId="15" fillId="5" borderId="1" xfId="0" applyFont="1" applyBorder="1" applyAlignment="1" applyProtection="0">
      <x:alignment horizontal="center" vertical="center" wrapText="1" shrinkToFit="0"/>
      <x:protection locked="1" hidden="0"/>
    </x:xf>
    <x:xf numFmtId="164" fontId="7" fillId="5" borderId="1" xfId="0" applyFont="1" applyBorder="1" applyAlignment="1" applyProtection="0">
      <x:alignment horizontal="left" vertical="center" wrapText="1" shrinkToFit="0"/>
      <x:protection locked="1" hidden="0"/>
    </x:xf>
    <x:xf numFmtId="164" fontId="15" fillId="5" borderId="1" xfId="0" applyFont="1" applyBorder="1" applyAlignment="1" applyProtection="0">
      <x:alignment horizontal="left" vertical="center" wrapText="1" shrinkToFit="0"/>
      <x:protection locked="1" hidden="0"/>
    </x:xf>
    <x:xf numFmtId="167" fontId="15" fillId="5" borderId="1" xfId="0" applyFont="1" applyBorder="1" applyAlignment="1" applyProtection="0">
      <x:alignment horizontal="center" vertical="center" wrapText="1" shrinkToFit="0"/>
      <x:protection locked="1" hidden="0"/>
    </x:xf>
    <x:xf numFmtId="164" fontId="21" fillId="0" borderId="0" xfId="0" applyFont="1" applyBorder="0" applyAlignment="1" applyProtection="0">
      <x:alignment horizontal="center" vertical="bottom" wrapText="0" shrinkToFit="0"/>
      <x:protection locked="1" hidden="0"/>
    </x:xf>
    <x:xf numFmtId="164" fontId="6" fillId="6" borderId="1" xfId="0" applyFont="1" applyBorder="1" applyAlignment="1" applyProtection="0">
      <x:alignment horizontal="center" vertical="center" wrapText="1" shrinkToFit="0"/>
      <x:protection locked="1" hidden="0"/>
    </x:xf>
    <x:xf numFmtId="164" fontId="22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22" fillId="0" borderId="1" xfId="0" applyFont="1" applyBorder="1" applyAlignment="1" applyProtection="0">
      <x:alignment horizontal="left" vertical="center" wrapText="1" shrinkToFit="0"/>
      <x:protection locked="1" hidden="0"/>
    </x:xf>
    <x:xf numFmtId="174" fontId="22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22" fillId="4" borderId="1" xfId="0" applyFont="1" applyBorder="1" applyAlignment="1" applyProtection="0">
      <x:alignment horizontal="center" vertical="center" wrapText="1" shrinkToFit="0"/>
      <x:protection locked="1" hidden="0"/>
    </x:xf>
    <x:xf numFmtId="167" fontId="23" fillId="4" borderId="1" xfId="0" applyFont="1" applyBorder="1" applyAlignment="1" applyProtection="0">
      <x:alignment horizontal="center" vertical="center" wrapText="1" shrinkToFit="0"/>
      <x:protection locked="1" hidden="0"/>
    </x:xf>
    <x:xf numFmtId="175" fontId="0" fillId="0" borderId="1" xfId="0" applyFont="0" applyBorder="1" applyAlignment="0" applyProtection="0">
      <x:alignment horizontal="general" vertical="bottom" wrapText="0" shrinkToFit="0"/>
      <x:protection locked="1" hidden="0"/>
    </x:xf>
    <x:xf numFmtId="164" fontId="22" fillId="5" borderId="1" xfId="0" applyFont="1" applyBorder="1" applyAlignment="1" applyProtection="0">
      <x:alignment horizontal="center" vertical="center" wrapText="1" shrinkToFit="0"/>
      <x:protection locked="1" hidden="0"/>
    </x:xf>
    <x:xf numFmtId="164" fontId="22" fillId="5" borderId="1" xfId="0" applyFont="1" applyBorder="1" applyAlignment="1" applyProtection="0">
      <x:alignment horizontal="left" vertical="center" wrapText="1" shrinkToFit="0"/>
      <x:protection locked="1" hidden="0"/>
    </x:xf>
    <x:xf numFmtId="174" fontId="22" fillId="5" borderId="1" xfId="0" applyFont="1" applyBorder="1" applyAlignment="1" applyProtection="0">
      <x:alignment horizontal="center" vertical="center" wrapText="1" shrinkToFit="0"/>
      <x:protection locked="1" hidden="0"/>
    </x:xf>
    <x:xf numFmtId="176" fontId="22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24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7" borderId="1" xfId="0" applyFont="0" applyBorder="1" applyAlignment="0" applyProtection="0">
      <x:alignment horizontal="general" vertical="bottom" wrapText="0" shrinkToFit="0"/>
      <x:protection locked="1" hidden="0"/>
    </x:xf>
    <x:xf numFmtId="164" fontId="25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0" fillId="8" borderId="1" xfId="0" applyFont="0" applyBorder="1" applyAlignment="0" applyProtection="0">
      <x:alignment horizontal="general" vertical="bottom" wrapText="0" shrinkToFit="0"/>
      <x:protection locked="1" hidden="0"/>
    </x:xf>
    <x:xf numFmtId="164" fontId="0" fillId="9" borderId="1" xfId="0" applyFont="0" applyBorder="1" applyAlignment="0" applyProtection="0">
      <x:alignment horizontal="general" vertical="bottom" wrapText="0" shrinkToFit="0"/>
      <x:protection locked="1" hidden="0"/>
    </x:xf>
    <x:xf numFmtId="164" fontId="0" fillId="10" borderId="1" xfId="0" applyFont="0" applyBorder="1" applyAlignment="0" applyProtection="0">
      <x:alignment horizontal="general" vertical="bottom" wrapText="0" shrinkToFit="0"/>
      <x:protection locked="1" hidden="0"/>
    </x:xf>
    <x:xf numFmtId="164" fontId="0" fillId="11" borderId="1" xfId="0" applyFont="0" applyBorder="1" applyAlignment="0" applyProtection="0">
      <x:alignment horizontal="general" vertical="bottom" wrapText="0" shrinkToFit="0"/>
      <x:protection locked="1" hidden="0"/>
    </x:xf>
    <x:xf numFmtId="164" fontId="0" fillId="4" borderId="1" xfId="0" applyFont="0" applyBorder="1" applyAlignment="0" applyProtection="0">
      <x:alignment horizontal="general" vertical="bottom" wrapText="0" shrinkToFit="0"/>
      <x:protection locked="1" hidden="0"/>
    </x:xf>
    <x:xf numFmtId="164" fontId="0" fillId="6" borderId="1" xfId="0" applyFont="0" applyBorder="1" applyAlignment="0" applyProtection="0">
      <x:alignment horizontal="general" vertical="bottom" wrapText="0" shrinkToFit="0"/>
      <x:protection locked="1" hidden="0"/>
    </x:xf>
    <x:xf numFmtId="164" fontId="26" fillId="0" borderId="0" xfId="0" applyFont="1" applyBorder="0" applyAlignment="0" applyProtection="0">
      <x:alignment horizontal="general" vertical="bottom" wrapText="0" shrinkToFit="0"/>
      <x:protection locked="1" hidden="0"/>
    </x:xf>
    <x:xf numFmtId="164" fontId="27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23" fillId="4" borderId="1" xfId="0" applyFont="1" applyBorder="1" applyAlignment="1" applyProtection="0">
      <x:alignment horizontal="center" vertical="center" wrapText="1" shrinkToFit="0"/>
      <x:protection locked="1" hidden="0"/>
    </x:xf>
    <x:xf numFmtId="177" fontId="15" fillId="0" borderId="1" xfId="0" applyFont="1" applyBorder="1" applyAlignment="1" applyProtection="0">
      <x:alignment horizontal="center" vertical="center" wrapText="1" shrinkToFit="0"/>
      <x:protection locked="1" hidden="0"/>
    </x:xf>
    <x:xf numFmtId="164" fontId="28" fillId="4" borderId="1" xfId="0" applyFont="1" applyBorder="1" applyAlignment="1" applyProtection="0">
      <x:alignment horizontal="left" vertical="center" wrapText="1" shrinkToFit="0"/>
      <x:protection locked="1" hidden="0"/>
    </x:xf>
    <x:xf numFmtId="172" fontId="28" fillId="4" borderId="1" xfId="0" applyFont="1" applyBorder="1" applyAlignment="1" applyProtection="0">
      <x:alignment horizontal="left" vertical="center" wrapText="1" shrinkToFit="0"/>
      <x:protection locked="1" hidden="0"/>
    </x:xf>
    <x:xf numFmtId="164" fontId="15" fillId="4" borderId="1" xfId="0" applyFont="1" applyBorder="1" applyAlignment="1" applyProtection="0">
      <x:alignment horizontal="left" vertical="center" wrapText="1" shrinkToFit="0"/>
      <x:protection locked="1" hidden="0"/>
    </x:xf>
    <x:xf numFmtId="172" fontId="15" fillId="4" borderId="1" xfId="0" applyFont="1" applyBorder="1" applyAlignment="1" applyProtection="0">
      <x:alignment horizontal="left" vertical="center" wrapText="1" shrinkToFit="0"/>
      <x:protection locked="1" hidden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0" fillId="0" borderId="2" xfId="0" applyNumberFormat="1" applyFont="1" applyFill="1" applyBorder="1" applyAlignment="1">
      <x:alignment horizontal="general" vertical="center" wrapText="1"/>
    </x:xf>
    <x:xf numFmtId="167" fontId="9" fillId="0" borderId="1" xfId="0" applyNumberFormat="1" applyFont="1" applyFill="1" applyBorder="1" applyAlignment="1">
      <x:alignment horizontal="center" vertical="center" wrapText="1"/>
    </x:xf>
    <x:xf numFmtId="164" fontId="6" fillId="2" borderId="2" xfId="0" applyNumberFormat="1" applyFont="1" applyFill="1" applyBorder="1" applyAlignment="1">
      <x:alignment horizontal="center" vertical="center" wrapText="1"/>
    </x:xf>
    <x:xf numFmtId="164" fontId="9" fillId="0" borderId="2" xfId="0" applyNumberFormat="1" applyFont="1" applyFill="1" applyBorder="1" applyAlignment="1">
      <x:alignment horizontal="center" vertical="center" wrapText="1"/>
    </x:xf>
    <x:xf numFmtId="167" fontId="9" fillId="0" borderId="2" xfId="0" applyNumberFormat="1" applyFont="1" applyFill="1" applyBorder="1" applyAlignment="1">
      <x:alignment horizontal="center" vertical="center" wrapText="1"/>
    </x:xf>
    <x:xf numFmtId="164" fontId="0" fillId="12" borderId="0" xfId="0" applyNumberFormat="1" applyFont="1" applyFill="1" applyBorder="1" applyAlignment="1">
      <x:alignment horizontal="general" vertical="bottom" wrapText="0"/>
    </x:xf>
    <x:xf numFmtId="164" fontId="29" fillId="12" borderId="0" xfId="0" applyNumberFormat="1" applyFont="1" applyFill="1" applyBorder="1" applyAlignment="1">
      <x:alignment horizontal="general" vertical="bottom" wrapText="0"/>
    </x:xf>
    <x:xf numFmtId="164" fontId="29" fillId="12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16">
    <x:dxf>
      <x:font>
        <x:b/>
        <x:color rgb="FF9C0006"/>
        <x:name val="Arial"/>
      </x:font>
      <x:fill>
        <x:patternFill>
          <x:bgColor rgb="FFFFC7CE"/>
        </x:patternFill>
      </x:fill>
    </x:dxf>
    <x:dxf>
      <x:font>
        <x:b/>
        <x:color rgb="FF9C5700"/>
        <x:name val="Arial"/>
      </x:font>
      <x:fill>
        <x:patternFill>
          <x:bgColor rgb="FFFFEB9C"/>
        </x:patternFill>
      </x:fill>
    </x:dxf>
    <x:dxf>
      <x:font>
        <x:b/>
        <x:color rgb="FF006100"/>
        <x:name val="Arial"/>
      </x:font>
      <x:fill>
        <x:patternFill>
          <x:bgColor rgb="FFC6EFCE"/>
        </x:patternFill>
      </x:fill>
    </x:dxf>
    <x:dxf>
      <x:font>
        <x:b/>
        <x:color rgb="FF1F4E78"/>
        <x:name val="Arial"/>
      </x:font>
      <x:fill>
        <x:patternFill>
          <x:bgColor rgb="FFDDEBF7"/>
        </x:patternFill>
      </x:fill>
    </x:dxf>
    <x:dxf>
      <x:fill>
        <x:patternFill>
          <x:bgColor rgb="FFFCE4D6"/>
        </x:patternFill>
      </x:fill>
    </x:dxf>
    <x:dxf>
      <x:font>
        <x:b/>
        <x:color rgb="FF595959"/>
        <x:name val="Arial"/>
      </x:font>
      <x:fill>
        <x:patternFill>
          <x:bgColor rgb="FFD9D9D9"/>
        </x:patternFill>
      </x:fill>
    </x:dxf>
    <x:dxf>
      <x:fill>
        <x:patternFill>
          <x:bgColor rgb="FF70AD47"/>
        </x:patternFill>
      </x:fill>
    </x:dxf>
    <x:dxf>
      <x:fill>
        <x:patternFill>
          <x:bgColor rgb="FFFFC000"/>
        </x:patternFill>
      </x:fill>
    </x:dxf>
    <x:dxf>
      <x:fill>
        <x:patternFill>
          <x:bgColor rgb="FFFF5B5B"/>
        </x:patternFill>
      </x:fill>
    </x:dxf>
    <x:dxf>
      <x:fill>
        <x:patternFill>
          <x:bgColor rgb="FF8E6CC0"/>
        </x:patternFill>
      </x:fill>
    </x:dxf>
    <x:dxf>
      <x:fill>
        <x:patternFill>
          <x:bgColor rgb="FF2E75B6"/>
        </x:patternFill>
      </x:fill>
    </x:dxf>
    <x:dxf>
      <x:fill>
        <x:patternFill>
          <x:bgColor rgb="FFFFF2CC"/>
        </x:patternFill>
      </x:fill>
    </x:dxf>
    <x:dxf>
      <x:font>
        <x:b/>
        <x:color rgb="FFFFFFFF"/>
        <x:name val="Arial"/>
      </x:font>
      <x:fill>
        <x:patternFill>
          <x:bgColor rgb="FF1F3864"/>
        </x:patternFill>
      </x:fill>
    </x:dxf>
    <x:dxf>
      <x:font>
        <x:b/>
        <x:color rgb="FFFFFFFF"/>
        <x:name val="Arial"/>
      </x:font>
      <x:fill>
        <x:patternFill>
          <x:bgColor rgb="FF2E75B6"/>
        </x:patternFill>
      </x:fill>
    </x:dxf>
    <x:dxf>
      <x:font>
        <x:b/>
        <x:color rgb="FF1F3864"/>
        <x:name val="Arial"/>
      </x:font>
      <x:fill>
        <x:patternFill>
          <x:bgColor rgb="FFBDD7EE"/>
        </x:patternFill>
      </x:fill>
    </x:dxf>
    <x:dxf>
      <x:font>
        <x:b/>
        <x:color rgb="FF1F3864"/>
        <x:name val="Arial"/>
      </x:font>
      <x:fill>
        <x:patternFill>
          <x:bgColor rgb="FFF2F2F2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2F2F2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7030A0"/>
      <x:rgbColor rgb="FFFFF2CC"/>
      <x:rgbColor rgb="FFDDEBF7"/>
      <x:rgbColor rgb="FF660066"/>
      <x:rgbColor rgb="FFFF5B5B"/>
      <x:rgbColor rgb="FF0066CC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EEAF6"/>
      <x:rgbColor rgb="FFC6EFCE"/>
      <x:rgbColor rgb="FFFFEB9C"/>
      <x:rgbColor rgb="FFD9D9D9"/>
      <x:rgbColor rgb="FFFCE4D6"/>
      <x:rgbColor rgb="FFF3EEF9"/>
      <x:rgbColor rgb="FFFFC7CE"/>
      <x:rgbColor rgb="FF2E75B6"/>
      <x:rgbColor rgb="FF33CCCC"/>
      <x:rgbColor rgb="FF99CC00"/>
      <x:rgbColor rgb="FFFFC000"/>
      <x:rgbColor rgb="FFFF9900"/>
      <x:rgbColor rgb="FFFF6600"/>
      <x:rgbColor rgb="FF595959"/>
      <x:rgbColor rgb="FF8E6CC0"/>
      <x:rgbColor rgb="FF1F3864"/>
      <x:rgbColor rgb="FF70AD47"/>
      <x:rgbColor rgb="FF006100"/>
      <x:rgbColor rgb="FF333300"/>
      <x:rgbColor rgb="FF9C57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c52b438b44a06" /><Relationship Type="http://schemas.openxmlformats.org/officeDocument/2006/relationships/theme" Target="/xl/theme/theme1.xml" Id="R563d47d44ba14491" /><Relationship Type="http://schemas.openxmlformats.org/officeDocument/2006/relationships/sharedStrings" Target="/xl/sharedStrings.xml" Id="R4575167b2de2481d" /><Relationship Type="http://schemas.openxmlformats.org/officeDocument/2006/relationships/worksheet" Target="/xl/worksheets/sheet1.xml" Id="R81f8b5b0bc86437e" /><Relationship Type="http://schemas.openxmlformats.org/officeDocument/2006/relationships/worksheet" Target="/xl/worksheets/sheet2.xml" Id="R644146e4f9fd4e68" /><Relationship Type="http://schemas.openxmlformats.org/officeDocument/2006/relationships/worksheet" Target="/xl/worksheets/sheet3.xml" Id="Rfd6e14cb710a4c4b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7" ySplit="4" topLeftCell="H5" activePane="bottomRight" state="frozen"/>
    </x:sheetView>
  </x:sheetViews>
  <x:sheetFormatPr defaultColWidth="8.6796875" defaultRowHeight="15"/>
  <x:cols>
    <x:col min="1" max="2" width="6" hidden="0" customWidth="1"/>
    <x:col min="3" max="4" width="10" hidden="0" customWidth="1"/>
    <x:col min="5" max="5" width="13" hidden="0" customWidth="1"/>
    <x:col min="6" max="6" width="14" hidden="0" customWidth="1"/>
    <x:col min="7" max="7" width="22" hidden="0" customWidth="1"/>
    <x:col min="8" max="9" width="44" hidden="0" customWidth="1"/>
    <x:col min="10" max="10" width="34" hidden="0" customWidth="1"/>
    <x:col min="11" max="11" width="10" hidden="0" customWidth="1"/>
    <x:col min="12" max="12" width="8" hidden="0" customWidth="1"/>
    <x:col min="13" max="13" width="16" hidden="0" customWidth="1"/>
    <x:col min="14" max="14" width="8" hidden="0" customWidth="1"/>
    <x:col min="15" max="15" width="10" hidden="0" customWidth="1"/>
    <x:col min="16" max="16" width="13" hidden="0" customWidth="1"/>
    <x:col min="17" max="17" width="26" hidden="0" customWidth="1"/>
  </x:cols>
  <x:sheetData>
    <x:row r="1" ht="25.5" hidden="0" customHeight="1">
      <x:c r="A1" s="19" t="s">
        <x:v>0</x:v>
      </x:c>
    </x:row>
    <x:row r="2" ht="15" hidden="0">
      <x:c r="A2" s="20" t="s">
        <x:v>1</x:v>
      </x:c>
    </x:row>
    <x:row r="4" ht="39.75" hidden="0" customHeigh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tr">
        <x:v>Fecha programada (jueves)</x:v>
      </x:c>
      <x:c r="F4" s="4" t="s">
        <x:v>6</x:v>
      </x:c>
      <x:c r="G4" s="4" t="s">
        <x:v>7</x:v>
      </x:c>
      <x:c r="H4" s="4" t="s">
        <x:v>8</x:v>
      </x:c>
      <x:c r="I4" s="4" t="s">
        <x:v>9</x:v>
      </x:c>
      <x:c r="J4" s="4" t="s">
        <x:v>10</x:v>
      </x:c>
      <x:c r="K4" s="4" t="s">
        <x:v>11</x:v>
      </x:c>
      <x:c r="L4" s="4" t="s">
        <x:v>12</x:v>
      </x:c>
      <x:c r="M4" s="4" t="s">
        <x:v>13</x:v>
      </x:c>
      <x:c r="N4" s="4" t="s">
        <x:v>14</x:v>
      </x:c>
      <x:c r="O4" s="4" t="s">
        <x:v>15</x:v>
      </x:c>
      <x:c r="P4" s="4" t="s">
        <x:v>16</x:v>
      </x:c>
      <x:c r="Q4" s="4" t="s">
        <x:v>17</x:v>
      </x:c>
    </x:row>
    <x:row r="5" ht="91.5" hidden="0" customHeight="1">
      <x:c r="A5" s="31" t="s">
        <x:v>18</x:v>
      </x:c>
      <x:c r="B5" s="24" t="n">
        <x:v>6</x:v>
      </x:c>
      <x:c r="C5" s="32" t="n">
        <x:f aca="0">DATE(2026,8,24)+(B5-1)*7</x:f>
        <x:v>46293</x:v>
      </x:c>
      <x:c r="D5" s="32" t="n">
        <x:f aca="0">C5+5</x:f>
        <x:v>46298</x:v>
      </x:c>
      <x:c r="E5" s="32" t="n">
        <x:f aca="0">C5+3</x:f>
        <x:v>46296</x:v>
      </x:c>
      <x:c r="F5" s="33" t="n">
        <x:f aca="0">E5+TIME(23,59,0)-2</x:f>
        <x:v>46294.99930555555</x:v>
      </x:c>
      <x:c r="G5" s="34" t="s">
        <x:v>19</x:v>
      </x:c>
      <x:c r="H5" s="21" t="str">
        <x:v>Definición única, repositorio local, contratos de CLI/datos/CSV, CMake y CI, Docker base, inventario SENAMHI y seguimiento.</x:v>
      </x:c>
      <x:c r="I5" s="21" t="str">
        <x:v>README, estructura Git y contratos localizables; compilación y prueba mínima en CI; Docker base y series inventariadas. Estado S06 marcado completo por el equipo; evidencias técnicas por adjuntar.</x:v>
      </x:c>
      <x:c r="J5" s="21" t="str">
        <x:v>Definición, README, contratos, salida CI, log Docker e inventario de datos.</x:v>
      </x:c>
      <x:c r="K5" s="24" t="s">
        <x:v>20</x:v>
      </x:c>
      <x:c r="L5" s="24" t="s">
        <x:v>21</x:v>
      </x:c>
      <x:c r="M5" s="21" t="str">
        <x:f aca="0"/>
        <x:v>David</x:v>
      </x:c>
      <x:c r="N5" s="24" t="n">
        <x:f aca="0">COUNTIF(Tareas!$B$5:$B$200,A5)</x:f>
        <x:v>7</x:v>
      </x:c>
      <x:c r="O5" s="35" t="n">
        <x:f aca="0">IFERROR(AVERAGEIF(Tareas!$B$5:$B$200,A5,Tareas!$K$5:$K$200),0)</x:f>
        <x:v>1</x:v>
      </x:c>
      <x:c r="P5" s="24" t="str">
        <x:f aca="1">IF(O5&gt;=1,"Completado",IF(TODAY()&gt;E5,"Atrasado",IF(COUNTIFS(Tareas!$B$5:$B$200,A5,Tareas!$J$5:$J$200,"En riesgo")&gt;0,"En riesgo",IF(O5&gt;0,"En curso","No iniciado"))))</x:f>
        <x:v>Completado</x:v>
      </x:c>
      <x:c r="Q5" s="36" t="str">
        <x:f aca="0">IF(OR(E5=DATE(2026,10,8),E5=DATE(2026,11,1),E5=DATE(2026,12,8)),"Feriado: trabajar y registrar la evidencia según el calendario interno.",IF(B5=8,"Semana de examen parcial: reservar tiempo de prueba y entrega.",IF(B5=15,"Exposición el jueves: presentación lista al corte del martes y clúster probado el miércoles.",IF(B5=10,"Decisión interna de extensiones en esta semana.",""))))</x:f>
      </x:c>
    </x:row>
    <x:row r="6" ht="91.5" hidden="0" customHeight="1">
      <x:c r="A6" s="31" t="s">
        <x:v>22</x:v>
      </x:c>
      <x:c r="B6" s="24" t="n">
        <x:v>7</x:v>
      </x:c>
      <x:c r="C6" s="32" t="n">
        <x:f aca="0">DATE(2026,8,24)+(B6-1)*7</x:f>
        <x:v>46300</x:v>
      </x:c>
      <x:c r="D6" s="32" t="n">
        <x:f aca="0">C6+5</x:f>
        <x:v>46305</x:v>
      </x:c>
      <x:c r="E6" s="32" t="n">
        <x:f aca="0">C6+3</x:f>
        <x:v>46303</x:v>
      </x:c>
      <x:c r="F6" s="33" t="n">
        <x:f aca="0">E6+TIME(23,59,0)-2</x:f>
        <x:v>46301.99930555555</x:v>
      </x:c>
      <x:c r="G6" s="34" t="s">
        <x:v>23</x:v>
      </x:c>
      <x:c r="H6" s="21" t="s">
        <x:v>24</x:v>
      </x:c>
      <x:c r="I6" s="21" t="s">
        <x:v>25</x:v>
      </x:c>
      <x:c r="J6" s="21" t="s">
        <x:v>26</x:v>
      </x:c>
      <x:c r="K6" s="24" t="s">
        <x:v>27</x:v>
      </x:c>
      <x:c r="L6" s="24" t="s">
        <x:v>28</x:v>
      </x:c>
      <x:c r="M6" s="21" t="str">
        <x:f aca="0"/>
        <x:v>Angela</x:v>
      </x:c>
      <x:c r="N6" s="24" t="n">
        <x:f aca="0">COUNTIF(Tareas!$B$5:$B$200,A6)</x:f>
        <x:v>7</x:v>
      </x:c>
      <x:c r="O6" s="35" t="n">
        <x:f aca="0">IFERROR(AVERAGEIF(Tareas!$B$5:$B$200,A6,Tareas!$K$5:$K$200),0)</x:f>
        <x:v>1</x:v>
      </x:c>
      <x:c r="P6" s="24" t="str">
        <x:f aca="1">IF(O6&gt;=1,"Completado",IF(TODAY()&gt;E6,"Atrasado",IF(COUNTIFS(Tareas!$B$5:$B$200,A6,Tareas!$J$5:$J$200,"En riesgo")&gt;0,"En riesgo",IF(O6&gt;0,"En curso","No iniciado"))))</x:f>
        <x:v>Completado</x:v>
      </x:c>
      <x:c r="Q6" s="36" t="str">
        <x:f aca="0">IF(OR(E6=DATE(2026,10,8),E6=DATE(2026,11,1),E6=DATE(2026,12,8)),"Feriado: trabajar y registrar la evidencia según el calendario interno.",IF(B6=8,"Semana de examen parcial: reservar tiempo de prueba y entrega.",IF(B6=15,"Exposición el jueves: presentación lista al corte del martes y clúster probado el miércoles.",IF(B6=10,"Decisión interna de extensiones en esta semana.",""))))</x:f>
        <x:v>Feriado: trabajar y registrar la evidencia según el calendario interno.</x:v>
      </x:c>
    </x:row>
    <x:row r="7" ht="91.5" hidden="0" customHeight="1">
      <x:c r="A7" s="31" t="s">
        <x:v>29</x:v>
      </x:c>
      <x:c r="B7" s="24" t="n">
        <x:v>8</x:v>
      </x:c>
      <x:c r="C7" s="32" t="n">
        <x:f aca="0">DATE(2026,8,24)+(B7-1)*7</x:f>
        <x:v>46307</x:v>
      </x:c>
      <x:c r="D7" s="32" t="n">
        <x:f aca="0">C7+5</x:f>
        <x:v>46312</x:v>
      </x:c>
      <x:c r="E7" s="32" t="n">
        <x:f aca="0">C7+3</x:f>
        <x:v>46310</x:v>
      </x:c>
      <x:c r="F7" s="33" t="n">
        <x:f aca="0">E7+TIME(23,59,0)-2</x:f>
        <x:v>46308.99930555555</x:v>
      </x:c>
      <x:c r="G7" s="34" t="s">
        <x:v>30</x:v>
      </x:c>
      <x:c r="H7" s="21" t="str">
        <x:v>OpenMP con reducciones; barrido de 2/4/8/16 hilos con carga y semilla fijas, afinidad, cinco repeticiones y equivalencia.</x:v>
      </x:c>
      <x:c r="I7" s="21" t="str">
        <x:v>V1/V5 y CSV con tiempo, speedup y eficiencia para 2/4/8/16 hilos; identificar sobresuscripción. Estado S08 marcado completo por el equipo; evidencias por adjuntar.</x:v>
      </x:c>
      <x:c r="J7" s="21" t="str">
        <x:v>Código; pruebas; CSV por hilos, hardware y afinidad; gráfico de tiempo, speedup y eficiencia.</x:v>
      </x:c>
      <x:c r="K7" s="24" t="s">
        <x:v>31</x:v>
      </x:c>
      <x:c r="L7" s="24" t="s">
        <x:v>32</x:v>
      </x:c>
      <x:c r="M7" s="21" t="str">
        <x:f aca="0"/>
        <x:v>Ashley</x:v>
      </x:c>
      <x:c r="N7" s="24" t="n">
        <x:f aca="0">COUNTIF(Tareas!$B$5:$B$200,A7)</x:f>
        <x:v>4</x:v>
      </x:c>
      <x:c r="O7" s="35" t="n">
        <x:f aca="0">IFERROR(AVERAGEIF(Tareas!$B$5:$B$200,A7,Tareas!$K$5:$K$200),0)</x:f>
        <x:v>1</x:v>
      </x:c>
      <x:c r="P7" s="24" t="str">
        <x:f aca="1">IF(O7&gt;=1,"Completado",IF(TODAY()&gt;E7,"Atrasado",IF(COUNTIFS(Tareas!$B$5:$B$200,A7,Tareas!$J$5:$J$200,"En riesgo")&gt;0,"En riesgo",IF(O7&gt;0,"En curso","No iniciado"))))</x:f>
        <x:v>Completado</x:v>
      </x:c>
      <x:c r="Q7" s="36" t="str">
        <x:f aca="0">IF(OR(E7=DATE(2026,10,8),E7=DATE(2026,11,1),E7=DATE(2026,12,8)),"Feriado: trabajar y registrar la evidencia según el calendario interno.",IF(B7=8,"Semana de examen parcial: reservar tiempo de prueba y entrega.",IF(B7=15,"Exposición el jueves: presentación lista al corte del martes y clúster probado el miércoles.",IF(B7=10,"Decisión interna de extensiones en esta semana.",""))))</x:f>
        <x:v>Semana de examen parcial: reservar tiempo de prueba y entrega.</x:v>
      </x:c>
    </x:row>
    <x:row r="8" ht="91.5" hidden="0" customHeight="1">
      <x:c r="A8" s="31" t="s">
        <x:v>33</x:v>
      </x:c>
      <x:c r="B8" s="24" t="n">
        <x:v>9</x:v>
      </x:c>
      <x:c r="C8" s="32" t="n">
        <x:f aca="0">DATE(2026,8,24)+(B8-1)*7</x:f>
        <x:v>46314</x:v>
      </x:c>
      <x:c r="D8" s="32" t="n">
        <x:f aca="0">C8+5</x:f>
        <x:v>46319</x:v>
      </x:c>
      <x:c r="E8" s="32" t="n">
        <x:f aca="0">C8+3</x:f>
        <x:v>46317</x:v>
      </x:c>
      <x:c r="F8" s="33" t="n">
        <x:f aca="0">E8+TIME(23,59,0)-2</x:f>
        <x:v>46315.99930555555</x:v>
      </x:c>
      <x:c r="G8" s="34" t="s">
        <x:v>34</x:v>
      </x:c>
      <x:c r="H8" s="21" t="str">
        <x:v>MPI estático y dinámico; V1/V3/V4; comparar 2/4/8/16 procesos con carga fija y distribución por nodo registrada.</x:v>
      </x:c>
      <x:c r="I8" s="21" t="str">
        <x:v>Ambos esquemas terminan y conservan N; matriz 2/4/8/16 procesos con cinco repeticiones por punto y hardware identificado.</x:v>
      </x:c>
      <x:c r="J8" s="21" t="str">
        <x:v>Código, CI, logs y CSV por cantidad de procesos/nodos; acta de GPU.</x:v>
      </x:c>
      <x:c r="K8" s="24" t="s">
        <x:v>35</x:v>
      </x:c>
      <x:c r="L8" s="24" t="s">
        <x:v>21</x:v>
      </x:c>
      <x:c r="M8" s="21" t="str">
        <x:f aca="0"/>
        <x:v>David</x:v>
      </x:c>
      <x:c r="N8" s="24" t="n">
        <x:f aca="0">COUNTIF(Tareas!$B$5:$B$200,A8)</x:f>
        <x:v>5</x:v>
      </x:c>
      <x:c r="O8" s="35" t="n">
        <x:f aca="0">IFERROR(AVERAGEIF(Tareas!$B$5:$B$200,A8,Tareas!$K$5:$K$200),0)</x:f>
        <x:v>0</x:v>
      </x:c>
      <x:c r="P8" s="24" t="str">
        <x:f aca="1">IF(O8&gt;=1,"Completado",IF(TODAY()&gt;E8,"Atrasado",IF(COUNTIFS(Tareas!$B$5:$B$200,A8,Tareas!$J$5:$J$200,"En riesgo")&gt;0,"En riesgo",IF(O8&gt;0,"En curso","No iniciado"))))</x:f>
        <x:v>No iniciado</x:v>
      </x:c>
      <x:c r="Q8" s="36" t="str">
        <x:f aca="0">IF(OR(E8=DATE(2026,10,8),E8=DATE(2026,11,1),E8=DATE(2026,12,8)),"Feriado: trabajar y registrar la evidencia según el calendario interno.",IF(B8=8,"Semana de examen parcial: reservar tiempo de prueba y entrega.",IF(B8=15,"Exposición el jueves: presentación lista al corte del martes y clúster probado el miércoles.",IF(B8=10,"Decisión interna de extensiones en esta semana.",""))))</x:f>
      </x:c>
    </x:row>
    <x:row r="9" ht="91.5" hidden="0" customHeight="1">
      <x:c r="A9" s="31" t="s">
        <x:v>36</x:v>
      </x:c>
      <x:c r="B9" s="24" t="n">
        <x:v>10</x:v>
      </x:c>
      <x:c r="C9" s="32" t="n">
        <x:f aca="0">DATE(2026,8,24)+(B9-1)*7</x:f>
        <x:v>46321</x:v>
      </x:c>
      <x:c r="D9" s="32" t="n">
        <x:f aca="0">C9+5</x:f>
        <x:v>46326</x:v>
      </x:c>
      <x:c r="E9" s="32" t="n">
        <x:f aca="0">C9+3</x:f>
        <x:v>46324</x:v>
      </x:c>
      <x:c r="F9" s="33" t="n">
        <x:f aca="0">E9+TIME(23,59,0)-2</x:f>
        <x:v>46322.99930555555</x:v>
      </x:c>
      <x:c r="G9" s="34" t="s">
        <x:v>37</x:v>
      </x:c>
      <x:c r="H9" s="21" t="str">
        <x:v>Híbrido MPI + OpenMP en tres equipos; comparar 2/4/8/16 núcleos CPU totales con procesos × hilos y sin mezclar cargas.</x:v>
      </x:c>
      <x:c r="I9" s="21" t="str">
        <x:v>V1 en verde y CSV para 2/4/8/16 núcleos totales, con factorización procesos × hilos, afinidad y hardware.</x:v>
      </x:c>
      <x:c r="J9" s="21" t="s">
        <x:v>38</x:v>
      </x:c>
      <x:c r="K9" s="24" t="s">
        <x:v>39</x:v>
      </x:c>
      <x:c r="L9" s="24" t="s">
        <x:v>40</x:v>
      </x:c>
      <x:c r="M9" s="21" t="str">
        <x:f aca="0"/>
        <x:v>Miguel</x:v>
      </x:c>
      <x:c r="N9" s="24" t="n">
        <x:f aca="0">COUNTIF(Tareas!$B$5:$B$200,A9)</x:f>
        <x:v>6</x:v>
      </x:c>
      <x:c r="O9" s="35" t="n">
        <x:f aca="0">IFERROR(AVERAGEIF(Tareas!$B$5:$B$200,A9,Tareas!$K$5:$K$200),0)</x:f>
        <x:v>0</x:v>
      </x:c>
      <x:c r="P9" s="24" t="str">
        <x:f aca="1">IF(O9&gt;=1,"Completado",IF(TODAY()&gt;E9,"Atrasado",IF(COUNTIFS(Tareas!$B$5:$B$200,A9,Tareas!$J$5:$J$200,"En riesgo")&gt;0,"En riesgo",IF(O9&gt;0,"En curso","No iniciado"))))</x:f>
        <x:v>No iniciado</x:v>
      </x:c>
      <x:c r="Q9" s="36" t="str">
        <x:f aca="0">IF(OR(E9=DATE(2026,10,8),E9=DATE(2026,11,1),E9=DATE(2026,12,8)),"Feriado: trabajar y registrar la evidencia según el calendario interno.",IF(B9=8,"Semana de examen parcial: reservar tiempo de prueba y entrega.",IF(B9=15,"Exposición el jueves: presentación lista al corte del martes y clúster probado el miércoles.",IF(B9=10,"Decisión interna de extensiones en esta semana.",""))))</x:f>
        <x:v>Decisión interna de extensiones en esta semana.</x:v>
      </x:c>
    </x:row>
    <x:row r="10" ht="91.5" hidden="0" customHeight="1">
      <x:c r="A10" s="31" t="s">
        <x:v>41</x:v>
      </x:c>
      <x:c r="B10" s="24" t="n">
        <x:v>11</x:v>
      </x:c>
      <x:c r="C10" s="32" t="n">
        <x:f aca="0">DATE(2026,8,24)+(B10-1)*7</x:f>
        <x:v>46328</x:v>
      </x:c>
      <x:c r="D10" s="32" t="n">
        <x:f aca="0">C10+5</x:f>
        <x:v>46333</x:v>
      </x:c>
      <x:c r="E10" s="32" t="n">
        <x:f aca="0">C10+3</x:f>
        <x:v>46331</x:v>
      </x:c>
      <x:c r="F10" s="33" t="n">
        <x:f aca="0">E10+TIME(23,59,0)-2</x:f>
        <x:v>46329.99930555555</x:v>
      </x:c>
      <x:c r="G10" s="34" t="s">
        <x:v>42</x:v>
      </x:c>
      <x:c r="H10" s="21" t="str">
        <x:v>X1–X4: OpenMP 2/4/8/16 hilos, MPI 2/4/8/16 procesos e híbrido 2/4/8/16 núcleos totales; escalabilidad fuerte/débil y reparto estático/dinámico.</x:v>
      </x:c>
      <x:c r="I10" s="21" t="str">
        <x:v>CSV de X1–X4 con carga fija por comparación, calentamiento y cinco repeticiones; media, desviación, speedup, eficiencia y throughput.</x:v>
      </x:c>
      <x:c r="J10" s="21" t="s">
        <x:v>43</x:v>
      </x:c>
      <x:c r="K10" s="24" t="s">
        <x:v>44</x:v>
      </x:c>
      <x:c r="L10" s="24" t="s">
        <x:v>40</x:v>
      </x:c>
      <x:c r="M10" s="21" t="str">
        <x:f aca="0"/>
        <x:v>Miguel</x:v>
      </x:c>
      <x:c r="N10" s="24" t="n">
        <x:f aca="0">COUNTIF(Tareas!$B$5:$B$200,A10)</x:f>
        <x:v>4</x:v>
      </x:c>
      <x:c r="O10" s="35" t="n">
        <x:f aca="0">IFERROR(AVERAGEIF(Tareas!$B$5:$B$200,A10,Tareas!$K$5:$K$200),0)</x:f>
        <x:v>0</x:v>
      </x:c>
      <x:c r="P10" s="24" t="str">
        <x:f aca="1">IF(O10&gt;=1,"Completado",IF(TODAY()&gt;E10,"Atrasado",IF(COUNTIFS(Tareas!$B$5:$B$200,A10,Tareas!$J$5:$J$200,"En riesgo")&gt;0,"En riesgo",IF(O10&gt;0,"En curso","No iniciado"))))</x:f>
        <x:v>No iniciado</x:v>
      </x:c>
      <x:c r="Q10" s="36" t="str">
        <x:f aca="0">IF(OR(E10=DATE(2026,10,8),E10=DATE(2026,11,1),E10=DATE(2026,12,8)),"Feriado: trabajar y registrar la evidencia según el calendario interno.",IF(B10=8,"Semana de examen parcial: reservar tiempo de prueba y entrega.",IF(B10=15,"Exposición el jueves: presentación lista al corte del martes y clúster probado el miércoles.",IF(B10=10,"Decisión interna de extensiones en esta semana.",""))))</x:f>
      </x:c>
    </x:row>
    <x:row r="11" ht="91.5" hidden="0" customHeight="1">
      <x:c r="A11" s="31" t="s">
        <x:v>45</x:v>
      </x:c>
      <x:c r="B11" s="24" t="n">
        <x:v>12</x:v>
      </x:c>
      <x:c r="C11" s="32" t="n">
        <x:f aca="0">DATE(2026,8,24)+(B11-1)*7</x:f>
        <x:v>46335</x:v>
      </x:c>
      <x:c r="D11" s="32" t="n">
        <x:f aca="0">C11+5</x:f>
        <x:v>46340</x:v>
      </x:c>
      <x:c r="E11" s="32" t="n">
        <x:f aca="0">C11+3</x:f>
        <x:v>46338</x:v>
      </x:c>
      <x:c r="F11" s="33" t="n">
        <x:f aca="0">E11+TIME(23,59,0)-2</x:f>
        <x:v>46336.99930555555</x:v>
      </x:c>
      <x:c r="G11" s="34" t="s">
        <x:v>46</x:v>
      </x:c>
      <x:c r="H11" s="21" t="s">
        <x:v>47</x:v>
      </x:c>
      <x:c r="I11" s="21" t="s">
        <x:v>48</x:v>
      </x:c>
      <x:c r="J11" s="21" t="s">
        <x:v>49</x:v>
      </x:c>
      <x:c r="K11" s="24" t="s">
        <x:v>50</x:v>
      </x:c>
      <x:c r="L11" s="24" t="s">
        <x:v>28</x:v>
      </x:c>
      <x:c r="M11" s="21" t="str">
        <x:f aca="0"/>
        <x:v>Angela</x:v>
      </x:c>
      <x:c r="N11" s="24" t="n">
        <x:f aca="0">COUNTIF(Tareas!$B$5:$B$200,A11)</x:f>
        <x:v>4</x:v>
      </x:c>
      <x:c r="O11" s="35" t="n">
        <x:f aca="0">IFERROR(AVERAGEIF(Tareas!$B$5:$B$200,A11,Tareas!$K$5:$K$200),0)</x:f>
        <x:v>0</x:v>
      </x:c>
      <x:c r="P11" s="24" t="str">
        <x:f aca="1">IF(O11&gt;=1,"Completado",IF(TODAY()&gt;E11,"Atrasado",IF(COUNTIFS(Tareas!$B$5:$B$200,A11,Tareas!$J$5:$J$200,"En riesgo")&gt;0,"En riesgo",IF(O11&gt;0,"En curso","No iniciado"))))</x:f>
        <x:v>No iniciado</x:v>
      </x:c>
      <x:c r="Q11" s="36" t="str">
        <x:f aca="0">IF(OR(E11=DATE(2026,10,8),E11=DATE(2026,11,1),E11=DATE(2026,12,8)),"Feriado: trabajar y registrar la evidencia según el calendario interno.",IF(B11=8,"Semana de examen parcial: reservar tiempo de prueba y entrega.",IF(B11=15,"Exposición el jueves: presentación lista al corte del martes y clúster probado el miércoles.",IF(B11=10,"Decisión interna de extensiones en esta semana.",""))))</x:f>
      </x:c>
    </x:row>
    <x:row r="12" ht="91.5" hidden="0" customHeight="1">
      <x:c r="A12" s="31" t="s">
        <x:v>51</x:v>
      </x:c>
      <x:c r="B12" s="24" t="n">
        <x:v>13</x:v>
      </x:c>
      <x:c r="C12" s="32" t="n">
        <x:f aca="0">DATE(2026,8,24)+(B12-1)*7</x:f>
        <x:v>46342</x:v>
      </x:c>
      <x:c r="D12" s="32" t="n">
        <x:f aca="0">C12+5</x:f>
        <x:v>46347</x:v>
      </x:c>
      <x:c r="E12" s="32" t="n">
        <x:f aca="0">C12+3</x:f>
        <x:v>46345</x:v>
      </x:c>
      <x:c r="F12" s="33" t="n">
        <x:f aca="0">E12+TIME(23,59,0)-2</x:f>
        <x:v>46343.99930555555</x:v>
      </x:c>
      <x:c r="G12" s="34" t="s">
        <x:v>52</x:v>
      </x:c>
      <x:c r="H12" s="21" t="s">
        <x:v>53</x:v>
      </x:c>
      <x:c r="I12" s="21" t="s">
        <x:v>54</x:v>
      </x:c>
      <x:c r="J12" s="21" t="s">
        <x:v>55</x:v>
      </x:c>
      <x:c r="K12" s="24" t="s">
        <x:v>56</x:v>
      </x:c>
      <x:c r="L12" s="24" t="s">
        <x:v>21</x:v>
      </x:c>
      <x:c r="M12" s="21" t="str">
        <x:f aca="0"/>
        <x:v>David</x:v>
      </x:c>
      <x:c r="N12" s="24" t="n">
        <x:f aca="0">COUNTIF(Tareas!$B$5:$B$200,A12)</x:f>
        <x:v>4</x:v>
      </x:c>
      <x:c r="O12" s="35" t="n">
        <x:f aca="0">IFERROR(AVERAGEIF(Tareas!$B$5:$B$200,A12,Tareas!$K$5:$K$200),0)</x:f>
        <x:v>0</x:v>
      </x:c>
      <x:c r="P12" s="24" t="str">
        <x:f aca="1">IF(O12&gt;=1,"Completado",IF(TODAY()&gt;E12,"Atrasado",IF(COUNTIFS(Tareas!$B$5:$B$200,A12,Tareas!$J$5:$J$200,"En riesgo")&gt;0,"En riesgo",IF(O12&gt;0,"En curso","No iniciado"))))</x:f>
        <x:v>No iniciado</x:v>
      </x:c>
      <x:c r="Q12" s="36" t="str">
        <x:f aca="0">IF(OR(E12=DATE(2026,10,8),E12=DATE(2026,11,1),E12=DATE(2026,12,8)),"Feriado: trabajar y registrar la evidencia según el calendario interno.",IF(B12=8,"Semana de examen parcial: reservar tiempo de prueba y entrega.",IF(B12=15,"Exposición el jueves: presentación lista al corte del martes y clúster probado el miércoles.",IF(B12=10,"Decisión interna de extensiones en esta semana.",""))))</x:f>
      </x:c>
    </x:row>
    <x:row r="13" ht="91.5" hidden="0" customHeight="1">
      <x:c r="A13" s="31" t="s">
        <x:v>57</x:v>
      </x:c>
      <x:c r="B13" s="24" t="n">
        <x:v>14</x:v>
      </x:c>
      <x:c r="C13" s="32" t="n">
        <x:f aca="0">DATE(2026,8,24)+(B13-1)*7</x:f>
        <x:v>46349</x:v>
      </x:c>
      <x:c r="D13" s="32" t="n">
        <x:f aca="0">C13+5</x:f>
        <x:v>46354</x:v>
      </x:c>
      <x:c r="E13" s="32" t="n">
        <x:f aca="0">C13+3</x:f>
        <x:v>46352</x:v>
      </x:c>
      <x:c r="F13" s="33" t="n">
        <x:f aca="0">E13+TIME(23,59,0)-2</x:f>
        <x:v>46350.99930555555</x:v>
      </x:c>
      <x:c r="G13" s="34" t="s">
        <x:v>58</x:v>
      </x:c>
      <x:c r="H13" s="21" t="s">
        <x:v>59</x:v>
      </x:c>
      <x:c r="I13" s="21" t="s">
        <x:v>60</x:v>
      </x:c>
      <x:c r="J13" s="21" t="s">
        <x:v>61</x:v>
      </x:c>
      <x:c r="K13" s="24" t="s">
        <x:v>62</x:v>
      </x:c>
      <x:c r="L13" s="24" t="s">
        <x:v>63</x:v>
      </x:c>
      <x:c r="M13" s="21" t="str">
        <x:f aca="0"/>
        <x:v>Rhamses</x:v>
      </x:c>
      <x:c r="N13" s="24" t="n">
        <x:f aca="0">COUNTIF(Tareas!$B$5:$B$200,A13)</x:f>
        <x:v>4</x:v>
      </x:c>
      <x:c r="O13" s="35" t="n">
        <x:f aca="0">IFERROR(AVERAGEIF(Tareas!$B$5:$B$200,A13,Tareas!$K$5:$K$200),0)</x:f>
        <x:v>0</x:v>
      </x:c>
      <x:c r="P13" s="24" t="str">
        <x:f aca="1">IF(O13&gt;=1,"Completado",IF(TODAY()&gt;E13,"Atrasado",IF(COUNTIFS(Tareas!$B$5:$B$200,A13,Tareas!$J$5:$J$200,"En riesgo")&gt;0,"En riesgo",IF(O13&gt;0,"En curso","No iniciado"))))</x:f>
        <x:v>No iniciado</x:v>
      </x:c>
      <x:c r="Q13" s="36" t="str">
        <x:f aca="0">IF(OR(E13=DATE(2026,10,8),E13=DATE(2026,11,1),E13=DATE(2026,12,8)),"Feriado: trabajar y registrar la evidencia según el calendario interno.",IF(B13=8,"Semana de examen parcial: reservar tiempo de prueba y entrega.",IF(B13=15,"Exposición el jueves: presentación lista al corte del martes y clúster probado el miércoles.",IF(B13=10,"Decisión interna de extensiones en esta semana.",""))))</x:f>
      </x:c>
    </x:row>
    <x:row r="14" ht="91.5" hidden="0" customHeight="1">
      <x:c r="A14" s="31" t="s">
        <x:v>64</x:v>
      </x:c>
      <x:c r="B14" s="24" t="n">
        <x:v>15</x:v>
      </x:c>
      <x:c r="C14" s="32" t="n">
        <x:f aca="0">DATE(2026,8,24)+(B14-1)*7</x:f>
        <x:v>46356</x:v>
      </x:c>
      <x:c r="D14" s="32" t="n">
        <x:f aca="0">C14+5</x:f>
        <x:v>46361</x:v>
      </x:c>
      <x:c r="E14" s="32" t="n">
        <x:f aca="0">C14+3</x:f>
        <x:v>46359</x:v>
      </x:c>
      <x:c r="F14" s="33" t="n">
        <x:f aca="0">E14+TIME(23,59,0)-2</x:f>
        <x:v>46357.99930555555</x:v>
      </x:c>
      <x:c r="G14" s="34" t="s">
        <x:v>65</x:v>
      </x:c>
      <x:c r="H14" s="21" t="s">
        <x:v>66</x:v>
      </x:c>
      <x:c r="I14" s="21" t="str">
        <x:v>Presentación y paquete final publicados en el repositorio antes de la exposición del 03/12.</x:v>
      </x:c>
      <x:c r="J14" s="21" t="s">
        <x:v>67</x:v>
      </x:c>
      <x:c r="K14" s="24" t="s">
        <x:v>68</x:v>
      </x:c>
      <x:c r="L14" s="24" t="s">
        <x:v>21</x:v>
      </x:c>
      <x:c r="M14" s="21" t="str">
        <x:f aca="0"/>
        <x:v>David</x:v>
      </x:c>
      <x:c r="N14" s="24" t="n">
        <x:f aca="0">COUNTIF(Tareas!$B$5:$B$200,A14)</x:f>
        <x:v>4</x:v>
      </x:c>
      <x:c r="O14" s="35" t="n">
        <x:f aca="0">IFERROR(AVERAGEIF(Tareas!$B$5:$B$200,A14,Tareas!$K$5:$K$200),0)</x:f>
        <x:v>0</x:v>
      </x:c>
      <x:c r="P14" s="24" t="str">
        <x:f aca="1">IF(O14&gt;=1,"Completado",IF(TODAY()&gt;E14,"Atrasado",IF(COUNTIFS(Tareas!$B$5:$B$200,A14,Tareas!$J$5:$J$200,"En riesgo")&gt;0,"En riesgo",IF(O14&gt;0,"En curso","No iniciado"))))</x:f>
        <x:v>No iniciado</x:v>
      </x:c>
      <x:c r="Q14" s="36" t="str">
        <x:f aca="0">IF(OR(E14=DATE(2026,10,8),E14=DATE(2026,11,1),E14=DATE(2026,12,8)),"Feriado: trabajar y registrar la evidencia según el calendario interno.",IF(B14=8,"Semana de examen parcial: reservar tiempo de prueba y entrega.",IF(B14=15,"Exposición el jueves: presentación lista al corte del martes y clúster probado el miércoles.",IF(B14=10,"Decisión interna de extensiones en esta semana.",""))))</x:f>
        <x:v>Exposición el jueves: presentación lista al corte del martes y clúster probado el miércoles.</x:v>
      </x:c>
    </x:row>
    <x:row r="17" ht="15" hidden="0">
      <x:c r="A17" s="37" t="s">
        <x:v>69</x:v>
      </x:c>
      <x:c r="G17" s="38" t="str">
        <x:f aca="1">IF(TODAY()&lt;=E9,"Pendiente: se decide en la revisión de E5 (jueves de S10)",IF(COUNTIF(P5:P9,"Completado")=5,"ACTIVADAS","NO ACTIVADAS: solo núcleo"))</x:f>
        <x:v>Pendiente: se decide en la revisión de E5 (jueves de S10)</x:v>
      </x:c>
    </x:row>
    <x:row r="18" ht="15" hidden="0">
      <x:c r="A18" s="39" t="s">
        <x:v>70</x:v>
      </x:c>
    </x:row>
    <x:row r="19" ht="39.75" hidden="0" customHeight="1">
      <x:c r="A19" s="4" t="s">
        <x:v>2</x:v>
      </x:c>
      <x:c r="B19" s="4" t="s">
        <x:v>3</x:v>
      </x:c>
      <x:c r="C19" s="4" t="s">
        <x:v>4</x:v>
      </x:c>
      <x:c r="D19" s="4" t="s">
        <x:v>5</x:v>
      </x:c>
      <x:c r="E19" s="4" t="str">
        <x:v>Fecha programada (jueves)</x:v>
      </x:c>
      <x:c r="F19" s="4" t="s">
        <x:v>6</x:v>
      </x:c>
      <x:c r="G19" s="4" t="s">
        <x:v>7</x:v>
      </x:c>
      <x:c r="H19" s="4" t="s">
        <x:v>8</x:v>
      </x:c>
      <x:c r="I19" s="4" t="s">
        <x:v>9</x:v>
      </x:c>
      <x:c r="J19" s="4" t="s">
        <x:v>10</x:v>
      </x:c>
      <x:c r="K19" s="4" t="s">
        <x:v>11</x:v>
      </x:c>
      <x:c r="L19" s="4" t="s">
        <x:v>12</x:v>
      </x:c>
      <x:c r="M19" s="4" t="s">
        <x:v>13</x:v>
      </x:c>
      <x:c r="N19" s="4" t="s">
        <x:v>14</x:v>
      </x:c>
      <x:c r="O19" s="4" t="s">
        <x:v>15</x:v>
      </x:c>
      <x:c r="P19" s="4" t="s">
        <x:v>16</x:v>
      </x:c>
      <x:c r="Q19" s="4" t="s">
        <x:v>17</x:v>
      </x:c>
    </x:row>
    <x:row r="20" ht="69.75" hidden="0" customHeight="1">
      <x:c r="A20" s="40" t="s">
        <x:v>71</x:v>
      </x:c>
      <x:c r="B20" s="41" t="n">
        <x:v>12</x:v>
      </x:c>
      <x:c r="C20" s="42" t="n">
        <x:f aca="0">DATE(2026,8,24)+(B20-1)*7</x:f>
        <x:v>46335</x:v>
      </x:c>
      <x:c r="D20" s="42" t="n">
        <x:f aca="0">C20+5</x:f>
        <x:v>46340</x:v>
      </x:c>
      <x:c r="E20" s="42" t="n">
        <x:f aca="0">C20+3</x:f>
        <x:v>46338</x:v>
      </x:c>
      <x:c r="F20" s="43" t="n">
        <x:f aca="0">E20+TIME(23,59,0)-2</x:f>
        <x:v>46336.99930555555</x:v>
      </x:c>
      <x:c r="G20" s="44" t="s">
        <x:v>72</x:v>
      </x:c>
      <x:c r="H20" s="45" t="str">
        <x:v>Si se activa EXT1: CUDA con 2/4/8/16 bloques y 128/256/512 hilos por bloque; SM, ocupación y cinco repeticiones.</x:v>
      </x:c>
      <x:c r="I20" s="45" t="str">
        <x:v>V2/V8; CSV para cada combinación bloques × hilos por bloque con igual carga y cinco repeticiones.</x:v>
      </x:c>
      <x:c r="J20" s="45" t="str">
        <x:v>Código, V2/V8, CSV de 2/4/8/16 bloques, ocupación y figuras de X5.</x:v>
      </x:c>
      <x:c r="K20" s="41" t="s">
        <x:v>73</x:v>
      </x:c>
      <x:c r="L20" s="41" t="s">
        <x:v>74</x:v>
      </x:c>
      <x:c r="M20" s="45" t="str">
        <x:f aca="0"/>
        <x:v>Lita</x:v>
      </x:c>
      <x:c r="N20" s="41" t="n">
        <x:f aca="0">COUNTIF(Tareas!$B$5:$B$200,A20)</x:f>
        <x:v>3</x:v>
      </x:c>
      <x:c r="O20" s="46" t="n">
        <x:f aca="0">IFERROR(AVERAGEIF(Tareas!$B$5:$B$200,A20,Tareas!$K$5:$K$200),0)</x:f>
        <x:v>0</x:v>
      </x:c>
      <x:c r="P20" s="41" t="str">
        <x:f aca="1">IF(O20&gt;=1,"Completado",IF(LEFT($G$17,2)="NO","No activada",IF(TODAY()&gt;E20,"Atrasado",IF(O20&gt;0,"En curso","No iniciado"))))</x:f>
        <x:v>No iniciado</x:v>
      </x:c>
      <x:c r="Q20" s="45" t="s">
        <x:v>75</x:v>
      </x:c>
    </x:row>
    <x:row r="21" ht="69.75" hidden="0" customHeight="1">
      <x:c r="A21" s="40" t="s">
        <x:v>76</x:v>
      </x:c>
      <x:c r="B21" s="41" t="n">
        <x:v>13</x:v>
      </x:c>
      <x:c r="C21" s="42" t="n">
        <x:f aca="0">DATE(2026,8,24)+(B21-1)*7</x:f>
        <x:v>46342</x:v>
      </x:c>
      <x:c r="D21" s="42" t="n">
        <x:f aca="0">C21+5</x:f>
        <x:v>46347</x:v>
      </x:c>
      <x:c r="E21" s="42" t="n">
        <x:f aca="0">C21+3</x:f>
        <x:v>46345</x:v>
      </x:c>
      <x:c r="F21" s="43" t="n">
        <x:f aca="0">E21+TIME(23,59,0)-2</x:f>
        <x:v>46343.99930555555</x:v>
      </x:c>
      <x:c r="G21" s="44" t="s">
        <x:v>77</x:v>
      </x:c>
      <x:c r="H21" s="45" t="str">
        <x:v>Si se activa EXT2: nodo GPU como trabajador MPI; comparar CPU sola frente a CPU + GPU con la misma carga y recursos registrados.</x:v>
      </x:c>
      <x:c r="I21" s="45" t="s">
        <x:v>78</x:v>
      </x:c>
      <x:c r="J21" s="45" t="s">
        <x:v>79</x:v>
      </x:c>
      <x:c r="K21" s="41" t="s">
        <x:v>80</x:v>
      </x:c>
      <x:c r="L21" s="41" t="s">
        <x:v>74</x:v>
      </x:c>
      <x:c r="M21" s="45" t="str">
        <x:f aca="0"/>
        <x:v>Lita</x:v>
      </x:c>
      <x:c r="N21" s="41" t="n">
        <x:f aca="0">COUNTIF(Tareas!$B$5:$B$200,A21)</x:f>
        <x:v>1</x:v>
      </x:c>
      <x:c r="O21" s="46" t="n">
        <x:f aca="0">IFERROR(AVERAGEIF(Tareas!$B$5:$B$200,A21,Tareas!$K$5:$K$200),0)</x:f>
        <x:v>0</x:v>
      </x:c>
      <x:c r="P21" s="41" t="str">
        <x:f aca="1">IF(O21&gt;=1,"Completado",IF(LEFT($G$17,2)="NO","No activada",IF(TODAY()&gt;E21,"Atrasado",IF(O21&gt;0,"En curso","No iniciado"))))</x:f>
        <x:v>No iniciado</x:v>
      </x:c>
      <x:c r="Q21" s="45" t="s">
        <x:v>75</x:v>
      </x:c>
    </x:row>
    <x:row r="24" ht="15" hidden="0">
      <x:c r="A24" s="18" t="s">
        <x:v>81</x:v>
      </x:c>
    </x:row>
  </x:sheetData>
  <x:conditionalFormatting sqref="P5:P14">
    <x:cfRule type="cellIs" dxfId="2" priority="2" aboveAverage="0" percent="0" bottom="0" operator="equal" rank="0" equalAverage="0">
      <x:formula>"Completado"</x:formula>
    </x:cfRule>
    <x:cfRule type="cellIs" dxfId="3" priority="3" aboveAverage="0" percent="0" bottom="0" operator="equal" rank="0" equalAverage="0">
      <x:formula>"En curso"</x:formula>
    </x:cfRule>
    <x:cfRule type="cellIs" dxfId="1" priority="4" aboveAverage="0" percent="0" bottom="0" operator="equal" rank="0" equalAverage="0">
      <x:formula>"En riesgo"</x:formula>
    </x:cfRule>
    <x:cfRule type="cellIs" dxfId="0" priority="5" aboveAverage="0" percent="0" bottom="0" operator="equal" rank="0" equalAverage="0">
      <x:formula>"Atrasado"</x:formula>
    </x:cfRule>
  </x:conditionalFormatting>
  <x:conditionalFormatting sqref="O5:O14">
    <x:cfRule type="dataBar" priority="6">
      <x:dataBar minLength="10" maxLength="90" showValue="1"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{44F4BF31-D06D-42C0-9C3B-4B24D496A82A}</x14:id>
        </x:ext>
      </x:extLst>
    </x:cfRule>
  </x:conditionalFormatting>
  <x:conditionalFormatting sqref="Q5:Q14">
    <x:cfRule type="expression" dxfId="4" priority="7" aboveAverage="0" percent="0" bottom="0" rank="0" equalAverage="0">
      <x:formula>LEN(Q5)&gt;0</x:formula>
    </x:cfRule>
  </x:conditionalFormatting>
  <x:conditionalFormatting sqref="P20:P21">
    <x:cfRule type="cellIs" dxfId="2" priority="8" aboveAverage="0" percent="0" bottom="0" operator="equal" rank="0" equalAverage="0">
      <x:formula>"Completado"</x:formula>
    </x:cfRule>
    <x:cfRule type="cellIs" dxfId="3" priority="9" aboveAverage="0" percent="0" bottom="0" operator="equal" rank="0" equalAverage="0">
      <x:formula>"En curso"</x:formula>
    </x:cfRule>
    <x:cfRule type="cellIs" dxfId="1" priority="10" aboveAverage="0" percent="0" bottom="0" operator="equal" rank="0" equalAverage="0">
      <x:formula>"En riesgo"</x:formula>
    </x:cfRule>
    <x:cfRule type="cellIs" dxfId="0" priority="11" aboveAverage="0" percent="0" bottom="0" operator="equal" rank="0" equalAverage="0">
      <x:formula>"Atrasado"</x:formula>
    </x:cfRule>
    <x:cfRule type="cellIs" dxfId="5" priority="12" aboveAverage="0" percent="0" bottom="0" operator="equal" rank="0" equalAverage="0">
      <x:formula>"No activada"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44F4BF31-D06D-42C0-9C3B-4B24D496A82A}">
            <x14:dataBar minLength="10" maxLength="90" showValue="1" gradient="1">
              <x14:cfvo type="num">
                <xm:f>0</xm:f>
              </x14:cfvo>
              <x14:cfvo type="num">
                <xm:f>1</xm:f>
              </x14:cfvo>
              <x14:fillColor rgb="FF5B9BD5"/>
              <x14:negativeFillColor rgb="FF5B9BD5"/>
              <x14:axisColor rgb="FF000000"/>
            </x14:dataBar>
          </x14:cfRule>
          <xm:sqref>O5:O14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8.6796875" defaultRowHeight="15"/>
  <x:cols>
    <x:col min="1" max="1" width="6" hidden="0" customWidth="1"/>
    <x:col min="2" max="2" width="7" hidden="0" customWidth="1"/>
    <x:col min="3" max="3" width="52" hidden="0" customWidth="1"/>
    <x:col min="4" max="4" width="6" hidden="0" customWidth="1"/>
    <x:col min="5" max="5" width="7" hidden="0" customWidth="1"/>
    <x:col min="6" max="6" width="8" hidden="0" customWidth="1"/>
    <x:col min="7" max="7" width="7" hidden="0" customWidth="1"/>
    <x:col min="8" max="8" width="14" hidden="0" customWidth="1"/>
    <x:col min="9" max="9" width="40" hidden="0" customWidth="1"/>
    <x:col min="10" max="10" width="13" hidden="0" customWidth="1"/>
    <x:col min="11" max="11" width="9" hidden="0" customWidth="1"/>
    <x:col min="12" max="21" width="5.510000228881836" hidden="0" customWidth="1"/>
    <x:col min="22" max="22" width="64" hidden="0" customWidth="1"/>
    <x:col min="23" max="23" width="78" hidden="0" customWidth="1"/>
    <x:col min="24" max="24" width="72" hidden="0" customWidth="1"/>
    <x:col min="25" max="25" width="112" hidden="0" customWidth="1"/>
    <x:col min="26" max="26" width="85" hidden="0" customWidth="1"/>
  </x:cols>
  <x:sheetData>
    <x:row r="1" ht="25.5" hidden="0" customHeight="1">
      <x:c r="A1" s="19" t="s">
        <x:v>82</x:v>
      </x:c>
    </x:row>
    <x:row r="2" ht="15" hidden="0">
      <x:c r="A2" s="20" t="str">
        <x:v>Editar Estado y % avance. V–W fijan rutas y formatos; X–Z detallan entradas, pasos y evidencias por tarea. E1–E3 aparecen completos por decisión del equipo; evidencias técnicas por adjuntar.</x:v>
      </x:c>
    </x:row>
    <x:row r="3" ht="15" hidden="0">
      <x:c r="L3" s="47" t="n">
        <x:v>6</x:v>
      </x:c>
      <x:c r="M3" s="47" t="n">
        <x:v>7</x:v>
      </x:c>
      <x:c r="N3" s="47" t="n">
        <x:v>8</x:v>
      </x:c>
      <x:c r="O3" s="47" t="n">
        <x:v>9</x:v>
      </x:c>
      <x:c r="P3" s="47" t="n">
        <x:v>10</x:v>
      </x:c>
      <x:c r="Q3" s="47" t="n">
        <x:v>11</x:v>
      </x:c>
      <x:c r="R3" s="47" t="n">
        <x:v>12</x:v>
      </x:c>
      <x:c r="S3" s="47" t="n">
        <x:v>13</x:v>
      </x:c>
      <x:c r="T3" s="47" t="n">
        <x:v>14</x:v>
      </x:c>
      <x:c r="U3" s="47" t="n">
        <x:v>15</x:v>
      </x:c>
    </x:row>
    <x:row r="4" ht="36" hidden="0" customHeight="1">
      <x:c r="A4" s="4" t="s">
        <x:v>2</x:v>
      </x:c>
      <x:c r="B4" s="4" t="s">
        <x:v>83</x:v>
      </x:c>
      <x:c r="C4" s="4" t="s">
        <x:v>84</x:v>
      </x:c>
      <x:c r="D4" s="4" t="s">
        <x:v>85</x:v>
      </x:c>
      <x:c r="E4" s="4" t="str">
        <x:v>Revisor</x:v>
      </x:c>
      <x:c r="F4" s="4" t="s">
        <x:v>86</x:v>
      </x:c>
      <x:c r="G4" s="4" t="s">
        <x:v>87</x:v>
      </x:c>
      <x:c r="H4" s="4" t="s">
        <x:v>88</x:v>
      </x:c>
      <x:c r="I4" s="4" t="s">
        <x:v>89</x:v>
      </x:c>
      <x:c r="J4" s="4" t="s">
        <x:v>16</x:v>
      </x:c>
      <x:c r="K4" s="4" t="s">
        <x:v>15</x:v>
      </x:c>
      <x:c r="L4" s="4" t="s">
        <x:v>90</x:v>
      </x:c>
      <x:c r="M4" s="4" t="s">
        <x:v>91</x:v>
      </x:c>
      <x:c r="N4" s="48" t="s">
        <x:v>92</x:v>
      </x:c>
      <x:c r="O4" s="4" t="s">
        <x:v>93</x:v>
      </x:c>
      <x:c r="P4" s="4" t="s">
        <x:v>94</x:v>
      </x:c>
      <x:c r="Q4" s="4" t="s">
        <x:v>95</x:v>
      </x:c>
      <x:c r="R4" s="4" t="s">
        <x:v>96</x:v>
      </x:c>
      <x:c r="S4" s="4" t="s">
        <x:v>97</x:v>
      </x:c>
      <x:c r="T4" s="4" t="s">
        <x:v>98</x:v>
      </x:c>
      <x:c r="U4" s="4" t="s">
        <x:v>99</x:v>
      </x:c>
      <x:c r="V4" s="4" t="str">
        <x:v>Archivo de programación reservado</x:v>
      </x:c>
      <x:c r="W4" s="4" t="str">
        <x:v>Entregable y formato esperado</x:v>
      </x:c>
      <x:c r="X4" s="4" t="str">
        <x:v>Entradas y dependencias</x:v>
      </x:c>
      <x:c r="Y4" s="4" t="str">
        <x:v>Procedimiento concreto</x:v>
      </x:c>
      <x:c r="Z4" s="4" t="str">
        <x:v>Evidencia verificable y ruta</x:v>
      </x:c>
    </x:row>
    <x:row r="5" ht="95" hidden="0" customHeight="1">
      <x:c r="A5" s="49" t="s">
        <x:v>100</x:v>
      </x:c>
      <x:c r="B5" s="49" t="s">
        <x:v>18</x:v>
      </x:c>
      <x:c r="C5" s="50" t="str">
        <x:v>Cerrar la definición única y registrar aprobación interna del equipo</x:v>
      </x:c>
      <x:c r="D5" s="49" t="str">
        <x:v>R6</x:v>
      </x:c>
      <x:c r="E5" s="49" t="s">
        <x:v>21</x:v>
      </x:c>
      <x:c r="F5" s="49" t="n">
        <x:v>6</x:v>
      </x:c>
      <x:c r="G5" s="49" t="n">
        <x:v>6</x:v>
      </x:c>
      <x:c r="H5" s="51" t="n">
        <x:f aca="0">DATE(2026,8,24)+(G5-1)*7+4-1+TIME(23,59,0)-48/24</x:f>
        <x:v>46294.99930555555</x:v>
      </x:c>
      <x:c r="I5" s="50" t="str">
        <x:v>Documento en docs/ y registro de revisión de seis integrantes; enlaces del README válidos.</x:v>
      </x:c>
      <x:c r="J5" s="52" t="str">
        <x:v>Completado</x:v>
      </x:c>
      <x:c r="K5" s="53" t="n">
        <x:v>1</x:v>
      </x:c>
      <x:c r="L5" s="54" t="n">
        <x:f aca="0">IF(AND(L$3&gt;=$F5,L$3&lt;=$G5),1,"")</x:f>
        <x:v>1</x:v>
      </x:c>
      <x:c r="M5" s="54" t="str">
        <x:f aca="0">IF(AND(M$3&gt;=$F5,M$3&lt;=$G5),1,"")</x:f>
      </x:c>
      <x:c r="N5" s="54" t="str">
        <x:f aca="0">IF(AND(N$3&gt;=$F5,N$3&lt;=$G5),1,"")</x:f>
      </x:c>
      <x:c r="O5" s="54" t="str">
        <x:f aca="0">IF(AND(O$3&gt;=$F5,O$3&lt;=$G5),1,"")</x:f>
      </x:c>
      <x:c r="P5" s="54" t="str">
        <x:f aca="0">IF(AND(P$3&gt;=$F5,P$3&lt;=$G5),1,"")</x:f>
      </x:c>
      <x:c r="Q5" s="54" t="str">
        <x:f aca="0">IF(AND(Q$3&gt;=$F5,Q$3&lt;=$G5),1,"")</x:f>
      </x:c>
      <x:c r="R5" s="54" t="str">
        <x:f aca="0">IF(AND(R$3&gt;=$F5,R$3&lt;=$G5),1,"")</x:f>
      </x:c>
      <x:c r="S5" s="54" t="str">
        <x:f aca="0">IF(AND(S$3&gt;=$F5,S$3&lt;=$G5),1,"")</x:f>
      </x:c>
      <x:c r="T5" s="54" t="str">
        <x:f aca="0">IF(AND(T$3&gt;=$F5,T$3&lt;=$G5),1,"")</x:f>
      </x:c>
      <x:c r="U5" s="54" t="str">
        <x:f aca="0">IF(AND(U$3&gt;=$F5,U$3&lt;=$G5),1,"")</x:f>
      </x:c>
      <x:c r="V5" s="78" t="str">
        <x:v>—</x:v>
      </x:c>
      <x:c r="W5" s="78" t="str">
        <x:v>DOCX de definición y acta de revisión en MD.</x:v>
      </x:c>
      <x:c r="X5" s="78" t="str">
        <x:v>docs/definicion-proyecto.docx; README.md; comentarios de los seis integrantes</x:v>
      </x:c>
      <x:c r="Y5" s="78" t="str">
        <x:v>Releer alcance, modelo, variables, entregables y semanas; consolidar una sola definición; comprobar cada enlace del README; registrar revisión individual con fecha.</x:v>
      </x:c>
      <x:c r="Z5" s="78" t="str">
        <x:v>docs/acta-revision-definicion.md con seis nombres, observaciones resueltas y commit del DOCX.</x:v>
      </x:c>
    </x:row>
    <x:row r="6" ht="95" hidden="0" customHeight="1">
      <x:c r="A6" s="49" t="s">
        <x:v>101</x:v>
      </x:c>
      <x:c r="B6" s="49" t="s">
        <x:v>18</x:v>
      </x:c>
      <x:c r="C6" s="50" t="str">
        <x:v>Especificar contrato de CLI, configuración y CSV de resultados</x:v>
      </x:c>
      <x:c r="D6" s="49" t="str">
        <x:v>R1</x:v>
      </x:c>
      <x:c r="E6" s="49" t="s">
        <x:v>63</x:v>
      </x:c>
      <x:c r="F6" s="49" t="n">
        <x:v>6</x:v>
      </x:c>
      <x:c r="G6" s="49" t="n">
        <x:v>6</x:v>
      </x:c>
      <x:c r="H6" s="51" t="n">
        <x:f aca="0">DATE(2026,8,24)+(G6-1)*7+4-1+TIME(23,59,0)-48/24</x:f>
        <x:v>46294.99930555555</x:v>
      </x:c>
      <x:c r="I6" s="50" t="str">
        <x:v>docs/contratos.md define campos, tipos, semilla, índice global, nombres de archivo y un ejemplo válido.</x:v>
      </x:c>
      <x:c r="J6" s="52" t="str">
        <x:v>Completado</x:v>
      </x:c>
      <x:c r="K6" s="53" t="n">
        <x:v>1</x:v>
      </x:c>
      <x:c r="L6" s="54" t="n">
        <x:f aca="0">IF(AND(L$3&gt;=$F6,L$3&lt;=$G6),1,"")</x:f>
        <x:v>1</x:v>
      </x:c>
      <x:c r="M6" s="54" t="str">
        <x:f aca="0">IF(AND(M$3&gt;=$F6,M$3&lt;=$G6),1,"")</x:f>
      </x:c>
      <x:c r="N6" s="54" t="str">
        <x:f aca="0">IF(AND(N$3&gt;=$F6,N$3&lt;=$G6),1,"")</x:f>
      </x:c>
      <x:c r="O6" s="54" t="str">
        <x:f aca="0">IF(AND(O$3&gt;=$F6,O$3&lt;=$G6),1,"")</x:f>
      </x:c>
      <x:c r="P6" s="54" t="str">
        <x:f aca="0">IF(AND(P$3&gt;=$F6,P$3&lt;=$G6),1,"")</x:f>
      </x:c>
      <x:c r="Q6" s="54" t="str">
        <x:f aca="0">IF(AND(Q$3&gt;=$F6,Q$3&lt;=$G6),1,"")</x:f>
      </x:c>
      <x:c r="R6" s="54" t="str">
        <x:f aca="0">IF(AND(R$3&gt;=$F6,R$3&lt;=$G6),1,"")</x:f>
      </x:c>
      <x:c r="S6" s="54" t="str">
        <x:f aca="0">IF(AND(S$3&gt;=$F6,S$3&lt;=$G6),1,"")</x:f>
      </x:c>
      <x:c r="T6" s="54" t="str">
        <x:f aca="0">IF(AND(T$3&gt;=$F6,T$3&lt;=$G6),1,"")</x:f>
      </x:c>
      <x:c r="U6" s="54" t="str">
        <x:f aca="0">IF(AND(U$3&gt;=$F6,U$3&lt;=$G6),1,"")</x:f>
      </x:c>
      <x:c r="V6" s="78" t="str">
        <x:v>config/ejemplo.yaml</x:v>
      </x:c>
      <x:c r="W6" s="78" t="str">
        <x:v>Contrato en MD; ejemplo de configuración YAML; esquema de CSV documentado.</x:v>
      </x:c>
      <x:c r="X6" s="78" t="str">
        <x:v>Definición vigente; variables N, semilla, umbral, capacidad, estación, régimen y backend.</x:v>
      </x:c>
      <x:c r="Y6" s="78" t="str">
        <x:v>Definir opciones CLI, valores por defecto y validación; fijar índice global del escenario y derivación de semilla; escribir ejemplo YAML; enumerar columnas, tipos y unidades del CSV.</x:v>
      </x:c>
      <x:c r="Z6" s="78" t="str">
        <x:v>docs/contratos.md y config/ejemplo.yaml; ejemplo de comando, configuración válida y fila CSV esperada.</x:v>
      </x:c>
    </x:row>
    <x:row r="7" ht="95" hidden="0" customHeight="1">
      <x:c r="A7" s="49" t="s">
        <x:v>102</x:v>
      </x:c>
      <x:c r="B7" s="49" t="s">
        <x:v>18</x:v>
      </x:c>
      <x:c r="C7" s="50" t="str">
        <x:v>Preparar repositorio Git local, estructura y reglas de contribución</x:v>
      </x:c>
      <x:c r="D7" s="49" t="str">
        <x:v>R1</x:v>
      </x:c>
      <x:c r="E7" s="49" t="s">
        <x:v>32</x:v>
      </x:c>
      <x:c r="F7" s="49" t="n">
        <x:v>6</x:v>
      </x:c>
      <x:c r="G7" s="49" t="n">
        <x:v>6</x:v>
      </x:c>
      <x:c r="H7" s="51" t="n">
        <x:f aca="0">DATE(2026,8,24)+(G7-1)*7+4-1+TIME(23,59,0)-48/24</x:f>
        <x:v>46294.99930555555</x:v>
      </x:c>
      <x:c r="I7" s="50" t="str">
        <x:v>main, .gitignore, README, carpetas previstas y plantilla de PR localizables.</x:v>
      </x:c>
      <x:c r="J7" s="52" t="str">
        <x:v>Completado</x:v>
      </x:c>
      <x:c r="K7" s="53" t="n">
        <x:v>1</x:v>
      </x:c>
      <x:c r="L7" s="54" t="n">
        <x:f aca="0">IF(AND(L$3&gt;=$F7,L$3&lt;=$G7),1,"")</x:f>
        <x:v>1</x:v>
      </x:c>
      <x:c r="M7" s="54" t="str">
        <x:f aca="0">IF(AND(M$3&gt;=$F7,M$3&lt;=$G7),1,"")</x:f>
      </x:c>
      <x:c r="N7" s="54" t="str">
        <x:f aca="0">IF(AND(N$3&gt;=$F7,N$3&lt;=$G7),1,"")</x:f>
      </x:c>
      <x:c r="O7" s="54" t="str">
        <x:f aca="0">IF(AND(O$3&gt;=$F7,O$3&lt;=$G7),1,"")</x:f>
      </x:c>
      <x:c r="P7" s="54" t="str">
        <x:f aca="0">IF(AND(P$3&gt;=$F7,P$3&lt;=$G7),1,"")</x:f>
      </x:c>
      <x:c r="Q7" s="54" t="str">
        <x:f aca="0">IF(AND(Q$3&gt;=$F7,Q$3&lt;=$G7),1,"")</x:f>
      </x:c>
      <x:c r="R7" s="54" t="str">
        <x:f aca="0">IF(AND(R$3&gt;=$F7,R$3&lt;=$G7),1,"")</x:f>
      </x:c>
      <x:c r="S7" s="54" t="str">
        <x:f aca="0">IF(AND(S$3&gt;=$F7,S$3&lt;=$G7),1,"")</x:f>
      </x:c>
      <x:c r="T7" s="54" t="str">
        <x:f aca="0">IF(AND(T$3&gt;=$F7,T$3&lt;=$G7),1,"")</x:f>
      </x:c>
      <x:c r="U7" s="54" t="str">
        <x:f aca="0">IF(AND(U$3&gt;=$F7,U$3&lt;=$G7),1,"")</x:f>
      </x:c>
      <x:c r="V7" s="78" t="str">
        <x:v>—</x:v>
      </x:c>
      <x:c r="W7" s="78" t="str">
        <x:v>README.md, .gitignore y estructura Git; enlaces y reglas de PR.</x:v>
      </x:c>
      <x:c r="X7" s="78" t="str">
        <x:v>Definición; lista de carpetas y responsables; reglas de ramas acordadas.</x:v>
      </x:c>
      <x:c r="Y7" s="78" t="str">
        <x:v>Crear estructura y archivos reservados por tarea; fijar .gitignore para build, datos y resultados generados; documentar ramas, PR, revisión y propiedad de archivos en README.</x:v>
      </x:c>
      <x:c r="Z7" s="78" t="str">
        <x:v>Árbol de rutas versionado; README y .gitignore; plantilla PR y commit de preparación.</x:v>
      </x:c>
    </x:row>
    <x:row r="8" ht="128" hidden="0" customHeight="1">
      <x:c r="A8" s="49" t="s">
        <x:v>103</x:v>
      </x:c>
      <x:c r="B8" s="49" t="s">
        <x:v>18</x:v>
      </x:c>
      <x:c r="C8" s="50" t="str">
        <x:v>Preparar CMake y CI de compilación C/C++</x:v>
      </x:c>
      <x:c r="D8" s="49" t="str">
        <x:v>R3</x:v>
      </x:c>
      <x:c r="E8" s="49" t="s">
        <x:v>21</x:v>
      </x:c>
      <x:c r="F8" s="49" t="n">
        <x:v>6</x:v>
      </x:c>
      <x:c r="G8" s="49" t="n">
        <x:v>6</x:v>
      </x:c>
      <x:c r="H8" s="51" t="n">
        <x:f aca="0">DATE(2026,8,24)+(G8-1)*7+4-1+TIME(23,59,0)-48/24</x:f>
        <x:v>46294.99930555555</x:v>
      </x:c>
      <x:c r="I8" s="50" t="str">
        <x:v>Un comando configura y compila; CI ejecuta al menos una prueba de humo por cambio.</x:v>
      </x:c>
      <x:c r="J8" s="52" t="str">
        <x:v>Completado</x:v>
      </x:c>
      <x:c r="K8" s="53" t="n">
        <x:v>1</x:v>
      </x:c>
      <x:c r="L8" s="54" t="n">
        <x:f aca="0">IF(AND(L$3&gt;=$F8,L$3&lt;=$G8),1,"")</x:f>
        <x:v>1</x:v>
      </x:c>
      <x:c r="M8" s="54" t="str">
        <x:f aca="0">IF(AND(M$3&gt;=$F8,M$3&lt;=$G8),1,"")</x:f>
      </x:c>
      <x:c r="N8" s="54" t="str">
        <x:f aca="0">IF(AND(N$3&gt;=$F8,N$3&lt;=$G8),1,"")</x:f>
      </x:c>
      <x:c r="O8" s="54" t="str">
        <x:f aca="0">IF(AND(O$3&gt;=$F8,O$3&lt;=$G8),1,"")</x:f>
      </x:c>
      <x:c r="P8" s="54" t="str">
        <x:f aca="0">IF(AND(P$3&gt;=$F8,P$3&lt;=$G8),1,"")</x:f>
      </x:c>
      <x:c r="Q8" s="54" t="str">
        <x:f aca="0">IF(AND(Q$3&gt;=$F8,Q$3&lt;=$G8),1,"")</x:f>
      </x:c>
      <x:c r="R8" s="54" t="str">
        <x:f aca="0">IF(AND(R$3&gt;=$F8,R$3&lt;=$G8),1,"")</x:f>
      </x:c>
      <x:c r="S8" s="54" t="str">
        <x:f aca="0">IF(AND(S$3&gt;=$F8,S$3&lt;=$G8),1,"")</x:f>
      </x:c>
      <x:c r="T8" s="54" t="str">
        <x:f aca="0">IF(AND(T$3&gt;=$F8,T$3&lt;=$G8),1,"")</x:f>
      </x:c>
      <x:c r="U8" s="54" t="str">
        <x:f aca="0">IF(AND(U$3&gt;=$F8,U$3&lt;=$G8),1,"")</x:f>
      </x:c>
      <x:c r="V8" s="78" t="str">
        <x:v>CMakeLists.txt; .github/workflows/ci.yml; tests/smoke/smoke.cpp</x:v>
      </x:c>
      <x:c r="W8" s="78" t="str">
        <x:v>CMake y YAML; ejecutable de prueba de humo en C++; log de compilación y CTest en CI.</x:v>
      </x:c>
      <x:c r="X8" s="78" t="str">
        <x:v>CMakeLists.txt; .github/workflows/ci.yml; tests/smoke/smoke.cpp; compilador C++17, CMake y CTest.</x:v>
      </x:c>
      <x:c r="Y8" s="78" t="str">
        <x:v>Definir proyecto C++17; crear ejecutable smoke y registrarlo con enable_testing/add_test; incluir módulos disponibles sin exigir backends aún vacíos; configurar CI en push y PR para ejecutar cmake -S . -B build -DCMAKE_BUILD_TYPE=Debug, cmake --build build --parallel y ctest --test-dir build --output-on-failure.</x:v>
      </x:c>
      <x:c r="Z8" s="78" t="str">
        <x:v>En un clon limpio: log de los tres comandos con salida exitosa; ejecución de smoke en CTest y enlace a corrida verde de CI.</x:v>
      </x:c>
    </x:row>
    <x:row r="9" ht="95" hidden="0" customHeight="1">
      <x:c r="A9" s="49" t="s">
        <x:v>104</x:v>
      </x:c>
      <x:c r="B9" s="49" t="s">
        <x:v>18</x:v>
      </x:c>
      <x:c r="C9" s="50" t="str">
        <x:v>Preparar Docker base con GCC, Open MPI, Random123 y hello híbrido</x:v>
      </x:c>
      <x:c r="D9" s="49" t="str">
        <x:v>R5</x:v>
      </x:c>
      <x:c r="E9" s="49" t="s">
        <x:v>21</x:v>
      </x:c>
      <x:c r="F9" s="49" t="n">
        <x:v>6</x:v>
      </x:c>
      <x:c r="G9" s="49" t="n">
        <x:v>6</x:v>
      </x:c>
      <x:c r="H9" s="51" t="n">
        <x:f aca="0">DATE(2026,8,24)+(G9-1)*7+4-1+TIME(23,59,0)-48/24</x:f>
        <x:v>46294.99930555555</x:v>
      </x:c>
      <x:c r="I9" s="50" t="str">
        <x:v>Imagen reproducible y log de dos procesos MPI con hilos OpenMP en contenedores.</x:v>
      </x:c>
      <x:c r="J9" s="52" t="str">
        <x:v>Completado</x:v>
      </x:c>
      <x:c r="K9" s="53" t="n">
        <x:v>1</x:v>
      </x:c>
      <x:c r="L9" s="54" t="n">
        <x:f aca="0">IF(AND(L$3&gt;=$F9,L$3&lt;=$G9),1,"")</x:f>
        <x:v>1</x:v>
      </x:c>
      <x:c r="M9" s="54" t="str">
        <x:f aca="0">IF(AND(M$3&gt;=$F9,M$3&lt;=$G9),1,"")</x:f>
      </x:c>
      <x:c r="N9" s="54" t="str">
        <x:f aca="0">IF(AND(N$3&gt;=$F9,N$3&lt;=$G9),1,"")</x:f>
      </x:c>
      <x:c r="O9" s="54" t="str">
        <x:f aca="0">IF(AND(O$3&gt;=$F9,O$3&lt;=$G9),1,"")</x:f>
      </x:c>
      <x:c r="P9" s="54" t="str">
        <x:f aca="0">IF(AND(P$3&gt;=$F9,P$3&lt;=$G9),1,"")</x:f>
      </x:c>
      <x:c r="Q9" s="54" t="str">
        <x:f aca="0">IF(AND(Q$3&gt;=$F9,Q$3&lt;=$G9),1,"")</x:f>
      </x:c>
      <x:c r="R9" s="54" t="str">
        <x:f aca="0">IF(AND(R$3&gt;=$F9,R$3&lt;=$G9),1,"")</x:f>
      </x:c>
      <x:c r="S9" s="54" t="str">
        <x:f aca="0">IF(AND(S$3&gt;=$F9,S$3&lt;=$G9),1,"")</x:f>
      </x:c>
      <x:c r="T9" s="54" t="str">
        <x:f aca="0">IF(AND(T$3&gt;=$F9,T$3&lt;=$G9),1,"")</x:f>
      </x:c>
      <x:c r="U9" s="54" t="str">
        <x:f aca="0">IF(AND(U$3&gt;=$F9,U$3&lt;=$G9),1,"")</x:f>
      </x:c>
      <x:c r="V9" s="78" t="str">
        <x:v>docker/Dockerfile; docker/hello_hibrido.cpp</x:v>
      </x:c>
      <x:c r="W9" s="78" t="str">
        <x:v>Dockerfile y C++; imagen reproducible y log de dos procesos.</x:v>
      </x:c>
      <x:c r="X9" s="78" t="str">
        <x:v>docker/Dockerfile; docker/hello_hibrido.cpp; versiones de GCC, Open MPI y Random123 fijadas.</x:v>
      </x:c>
      <x:c r="Y9" s="78" t="str">
        <x:v>Construir imagen; compilar hello con mpicxx y -fopenmp; lanzar dos procesos MPI con al menos dos hilos cada uno; imprimir rank y thread y exportar log.</x:v>
      </x:c>
      <x:c r="Z9" s="78" t="str">
        <x:v>Dockerfile, fuente y comandos docker build/run documentados; log con ranks 0 y 1 y sus hilos.</x:v>
      </x:c>
    </x:row>
    <x:row r="10" ht="95" hidden="0" customHeight="1">
      <x:c r="A10" s="49" t="s">
        <x:v>105</x:v>
      </x:c>
      <x:c r="B10" s="49" t="s">
        <x:v>18</x:v>
      </x:c>
      <x:c r="C10" s="50" t="str">
        <x:v>Inventariar 3–5 series diarias SENAMHI candidatas con ≥ 20 años</x:v>
      </x:c>
      <x:c r="D10" s="49" t="str">
        <x:v>R2</x:v>
      </x:c>
      <x:c r="E10" s="49" t="s">
        <x:v>63</x:v>
      </x:c>
      <x:c r="F10" s="49" t="n">
        <x:v>6</x:v>
      </x:c>
      <x:c r="G10" s="49" t="n">
        <x:v>6</x:v>
      </x:c>
      <x:c r="H10" s="51" t="n">
        <x:f aca="0">DATE(2026,8,24)+(G10-1)*7+4-1+TIME(23,59,0)-48/24</x:f>
        <x:v>46294.99930555555</x:v>
      </x:c>
      <x:c r="I10" s="50" t="str">
        <x:v>CSV de estaciones con fuente, unidades, intervalo, faltantes, licencia y ruta de obtención.</x:v>
      </x:c>
      <x:c r="J10" s="52" t="str">
        <x:v>Completado</x:v>
      </x:c>
      <x:c r="K10" s="53" t="n">
        <x:v>1</x:v>
      </x:c>
      <x:c r="L10" s="54" t="n">
        <x:f aca="0">IF(AND(L$3&gt;=$F10,L$3&lt;=$G10),1,"")</x:f>
        <x:v>1</x:v>
      </x:c>
      <x:c r="M10" s="54" t="str">
        <x:f aca="0">IF(AND(M$3&gt;=$F10,M$3&lt;=$G10),1,"")</x:f>
      </x:c>
      <x:c r="N10" s="54" t="str">
        <x:f aca="0">IF(AND(N$3&gt;=$F10,N$3&lt;=$G10),1,"")</x:f>
      </x:c>
      <x:c r="O10" s="54" t="str">
        <x:f aca="0">IF(AND(O$3&gt;=$F10,O$3&lt;=$G10),1,"")</x:f>
      </x:c>
      <x:c r="P10" s="54" t="str">
        <x:f aca="0">IF(AND(P$3&gt;=$F10,P$3&lt;=$G10),1,"")</x:f>
      </x:c>
      <x:c r="Q10" s="54" t="str">
        <x:f aca="0">IF(AND(Q$3&gt;=$F10,Q$3&lt;=$G10),1,"")</x:f>
      </x:c>
      <x:c r="R10" s="54" t="str">
        <x:f aca="0">IF(AND(R$3&gt;=$F10,R$3&lt;=$G10),1,"")</x:f>
      </x:c>
      <x:c r="S10" s="54" t="str">
        <x:f aca="0">IF(AND(S$3&gt;=$F10,S$3&lt;=$G10),1,"")</x:f>
      </x:c>
      <x:c r="T10" s="54" t="str">
        <x:f aca="0">IF(AND(T$3&gt;=$F10,T$3&lt;=$G10),1,"")</x:f>
      </x:c>
      <x:c r="U10" s="54" t="str">
        <x:f aca="0">IF(AND(U$3&gt;=$F10,U$3&lt;=$G10),1,"")</x:f>
      </x:c>
      <x:c r="V10" s="78" t="str">
        <x:v>—</x:v>
      </x:c>
      <x:c r="W10" s="78" t="str">
        <x:v>Inventario SENAMHI en CSV: estación, fuente, unidades, fechas, licencia y URL.</x:v>
      </x:c>
      <x:c r="X10" s="78" t="str">
        <x:v>Portal/datasets SENAMHI y condiciones de uso; requisitos de precipitación diaria y periodo &gt;=20 años.</x:v>
      </x:c>
      <x:c r="Y10" s="78" t="str">
        <x:v>Identificar 3–5 estaciones; registrar identificador, coordenadas, unidad, rango temporal, URL, licencia y mecanismo de descarga; estimar faltantes preliminares.</x:v>
      </x:c>
      <x:c r="Z10" s="78" t="str">
        <x:v>data/metadata/inventario_senamhi.csv con una fila por serie, URL verificable y fecha de consulta.</x:v>
      </x:c>
    </x:row>
    <x:row r="11" ht="95" hidden="0" customHeight="1">
      <x:c r="A11" s="49" t="s">
        <x:v>106</x:v>
      </x:c>
      <x:c r="B11" s="49" t="s">
        <x:v>18</x:v>
      </x:c>
      <x:c r="C11" s="50" t="str">
        <x:v>Registrar las 53 tareas y responsables en el tablero del equipo</x:v>
      </x:c>
      <x:c r="D11" s="49" t="str">
        <x:v>R6</x:v>
      </x:c>
      <x:c r="E11" s="49" t="s">
        <x:v>21</x:v>
      </x:c>
      <x:c r="F11" s="49" t="n">
        <x:v>6</x:v>
      </x:c>
      <x:c r="G11" s="49" t="n">
        <x:v>6</x:v>
      </x:c>
      <x:c r="H11" s="51" t="n">
        <x:f aca="0">DATE(2026,8,24)+(G11-1)*7+4-1+TIME(23,59,0)-48/24</x:f>
        <x:v>46294.99930555555</x:v>
      </x:c>
      <x:c r="I11" s="50" t="str">
        <x:v>Tablero enlaza ID, responsable, fecha, estado y criterio de terminado de cada tarea.</x:v>
      </x:c>
      <x:c r="J11" s="52" t="str">
        <x:v>Completado</x:v>
      </x:c>
      <x:c r="K11" s="53" t="n">
        <x:v>1</x:v>
      </x:c>
      <x:c r="L11" s="54" t="n">
        <x:f aca="0">IF(AND(L$3&gt;=$F11,L$3&lt;=$G11),1,"")</x:f>
        <x:v>1</x:v>
      </x:c>
      <x:c r="M11" s="54" t="str">
        <x:f aca="0">IF(AND(M$3&gt;=$F11,M$3&lt;=$G11),1,"")</x:f>
      </x:c>
      <x:c r="N11" s="54" t="str">
        <x:f aca="0">IF(AND(N$3&gt;=$F11,N$3&lt;=$G11),1,"")</x:f>
      </x:c>
      <x:c r="O11" s="54" t="str">
        <x:f aca="0">IF(AND(O$3&gt;=$F11,O$3&lt;=$G11),1,"")</x:f>
      </x:c>
      <x:c r="P11" s="54" t="str">
        <x:f aca="0">IF(AND(P$3&gt;=$F11,P$3&lt;=$G11),1,"")</x:f>
      </x:c>
      <x:c r="Q11" s="54" t="str">
        <x:f aca="0">IF(AND(Q$3&gt;=$F11,Q$3&lt;=$G11),1,"")</x:f>
      </x:c>
      <x:c r="R11" s="54" t="str">
        <x:f aca="0">IF(AND(R$3&gt;=$F11,R$3&lt;=$G11),1,"")</x:f>
      </x:c>
      <x:c r="S11" s="54" t="str">
        <x:f aca="0">IF(AND(S$3&gt;=$F11,S$3&lt;=$G11),1,"")</x:f>
      </x:c>
      <x:c r="T11" s="54" t="str">
        <x:f aca="0">IF(AND(T$3&gt;=$F11,T$3&lt;=$G11),1,"")</x:f>
      </x:c>
      <x:c r="U11" s="54" t="str">
        <x:f aca="0">IF(AND(U$3&gt;=$F11,U$3&lt;=$G11),1,"")</x:f>
      </x:c>
      <x:c r="V11" s="78" t="str">
        <x:v>—</x:v>
      </x:c>
      <x:c r="W11" s="78" t="str">
        <x:v>Cronograma interno XLSX: 53 tareas con propietario, fecha, estado y criterio.</x:v>
      </x:c>
      <x:c r="X11" s="78" t="str">
        <x:v>Lista T01–T53; seis integrantes; fechas y criterios del cronograma.</x:v>
      </x:c>
      <x:c r="Y11" s="78" t="str">
        <x:v>Registrar cada ID una sola vez; asignar propietario único, semana, fecha límite, archivo y criterio; comprobar que ningún ID ni responsable falte.</x:v>
      </x:c>
      <x:c r="Z11" s="78" t="str">
        <x:v>cronograma/cronograma-interno.xlsx con 53 IDs únicos y revisión de campos obligatorios.</x:v>
      </x:c>
    </x:row>
    <x:row r="12" ht="95" hidden="0" customHeight="1">
      <x:c r="A12" s="49" t="s">
        <x:v>107</x:v>
      </x:c>
      <x:c r="B12" s="49" t="s">
        <x:v>22</x:v>
      </x:c>
      <x:c r="C12" s="50" t="str">
        <x:v>Auditar faltantes, atípicos y años incompletos de cada serie</x:v>
      </x:c>
      <x:c r="D12" s="49" t="str">
        <x:v>R2</x:v>
      </x:c>
      <x:c r="E12" s="49" t="s">
        <x:v>63</x:v>
      </x:c>
      <x:c r="F12" s="49" t="n">
        <x:v>6</x:v>
      </x:c>
      <x:c r="G12" s="49" t="n">
        <x:v>7</x:v>
      </x:c>
      <x:c r="H12" s="51" t="n">
        <x:f aca="0">DATE(2026,8,24)+(G12-1)*7+4-1+TIME(23,59,0)-48/24</x:f>
        <x:v>46301.99930555555</x:v>
      </x:c>
      <x:c r="I12" s="50" t="str">
        <x:v>Reporte por estación/año con reglas de exclusión y ≥ 3 estaciones que cumplan &lt;10 % de faltantes.</x:v>
      </x:c>
      <x:c r="J12" s="52" t="str">
        <x:v>Completado</x:v>
      </x:c>
      <x:c r="K12" s="53" t="n">
        <x:v>1</x:v>
      </x:c>
      <x:c r="L12" s="54" t="n">
        <x:f aca="0">IF(AND(L$3&gt;=$F12,L$3&lt;=$G12),1,"")</x:f>
        <x:v>1</x:v>
      </x:c>
      <x:c r="M12" s="54" t="n">
        <x:f aca="0">IF(AND(M$3&gt;=$F12,M$3&lt;=$G12),1,"")</x:f>
        <x:v>1</x:v>
      </x:c>
      <x:c r="N12" s="54" t="str">
        <x:f aca="0">IF(AND(N$3&gt;=$F12,N$3&lt;=$G12),1,"")</x:f>
      </x:c>
      <x:c r="O12" s="54" t="str">
        <x:f aca="0">IF(AND(O$3&gt;=$F12,O$3&lt;=$G12),1,"")</x:f>
      </x:c>
      <x:c r="P12" s="54" t="str">
        <x:f aca="0">IF(AND(P$3&gt;=$F12,P$3&lt;=$G12),1,"")</x:f>
      </x:c>
      <x:c r="Q12" s="54" t="str">
        <x:f aca="0">IF(AND(Q$3&gt;=$F12,Q$3&lt;=$G12),1,"")</x:f>
      </x:c>
      <x:c r="R12" s="54" t="str">
        <x:f aca="0">IF(AND(R$3&gt;=$F12,R$3&lt;=$G12),1,"")</x:f>
      </x:c>
      <x:c r="S12" s="54" t="str">
        <x:f aca="0">IF(AND(S$3&gt;=$F12,S$3&lt;=$G12),1,"")</x:f>
      </x:c>
      <x:c r="T12" s="54" t="str">
        <x:f aca="0">IF(AND(T$3&gt;=$F12,T$3&lt;=$G12),1,"")</x:f>
      </x:c>
      <x:c r="U12" s="54" t="str">
        <x:f aca="0">IF(AND(U$3&gt;=$F12,U$3&lt;=$G12),1,"")</x:f>
      </x:c>
      <x:c r="V12" s="78" t="str">
        <x:v>—</x:v>
      </x:c>
      <x:c r="W12" s="78" t="str">
        <x:v>Reporte de calidad MD y tabla CSV de faltantes, atípicos y exclusiones.</x:v>
      </x:c>
      <x:c r="X12" s="78" t="str">
        <x:v>Series diarias seleccionadas en T06; reglas de exclusión de la definición.</x:v>
      </x:c>
      <x:c r="Y12" s="78" t="str">
        <x:v>Contar días esperados y observados por estación/año; detectar duplicados, negativos, atípicos y vacíos; aplicar &lt;10 % faltantes; documentar exclusiones sin alterar datos originales.</x:v>
      </x:c>
      <x:c r="Z12" s="78" t="str">
        <x:v>data/processed/auditoria_calidad.csv y docs/auditoria-datos.md con conteos, reglas y &gt;=3 estaciones elegibles.</x:v>
      </x:c>
    </x:row>
    <x:row r="13" ht="95" hidden="0" customHeight="1">
      <x:c r="A13" s="49" t="s">
        <x:v>108</x:v>
      </x:c>
      <x:c r="B13" s="49" t="s">
        <x:v>22</x:v>
      </x:c>
      <x:c r="C13" s="50" t="str">
        <x:v>Clasificar años normal y El Niño con fuente ENFEN</x:v>
      </x:c>
      <x:c r="D13" s="49" t="str">
        <x:v>R2</x:v>
      </x:c>
      <x:c r="E13" s="49" t="s">
        <x:v>63</x:v>
      </x:c>
      <x:c r="F13" s="49" t="n">
        <x:v>7</x:v>
      </x:c>
      <x:c r="G13" s="49" t="n">
        <x:v>7</x:v>
      </x:c>
      <x:c r="H13" s="51" t="n">
        <x:f aca="0">DATE(2026,8,24)+(G13-1)*7+4-1+TIME(23,59,0)-48/24</x:f>
        <x:v>46301.99930555555</x:v>
      </x:c>
      <x:c r="I13" s="50" t="str">
        <x:v>Tabla año–régimen por estación con fuente y regla de clasificación reproducible.</x:v>
      </x:c>
      <x:c r="J13" s="52" t="str">
        <x:v>Completado</x:v>
      </x:c>
      <x:c r="K13" s="53" t="n">
        <x:v>1</x:v>
      </x:c>
      <x:c r="L13" s="54" t="str">
        <x:f aca="0">IF(AND(L$3&gt;=$F13,L$3&lt;=$G13),1,"")</x:f>
      </x:c>
      <x:c r="M13" s="54" t="n">
        <x:f aca="0">IF(AND(M$3&gt;=$F13,M$3&lt;=$G13),1,"")</x:f>
        <x:v>1</x:v>
      </x:c>
      <x:c r="N13" s="54" t="str">
        <x:f aca="0">IF(AND(N$3&gt;=$F13,N$3&lt;=$G13),1,"")</x:f>
      </x:c>
      <x:c r="O13" s="54" t="str">
        <x:f aca="0">IF(AND(O$3&gt;=$F13,O$3&lt;=$G13),1,"")</x:f>
      </x:c>
      <x:c r="P13" s="54" t="str">
        <x:f aca="0">IF(AND(P$3&gt;=$F13,P$3&lt;=$G13),1,"")</x:f>
      </x:c>
      <x:c r="Q13" s="54" t="str">
        <x:f aca="0">IF(AND(Q$3&gt;=$F13,Q$3&lt;=$G13),1,"")</x:f>
      </x:c>
      <x:c r="R13" s="54" t="str">
        <x:f aca="0">IF(AND(R$3&gt;=$F13,R$3&lt;=$G13),1,"")</x:f>
      </x:c>
      <x:c r="S13" s="54" t="str">
        <x:f aca="0">IF(AND(S$3&gt;=$F13,S$3&lt;=$G13),1,"")</x:f>
      </x:c>
      <x:c r="T13" s="54" t="str">
        <x:f aca="0">IF(AND(T$3&gt;=$F13,T$3&lt;=$G13),1,"")</x:f>
      </x:c>
      <x:c r="U13" s="54" t="str">
        <x:f aca="0">IF(AND(U$3&gt;=$F13,U$3&lt;=$G13),1,"")</x:f>
      </x:c>
      <x:c r="V13" s="78" t="str">
        <x:v>—</x:v>
      </x:c>
      <x:c r="W13" s="78" t="str">
        <x:v>CSV año–régimen–estación con fuente ENFEN y regla de clasificación.</x:v>
      </x:c>
      <x:c r="X13" s="78" t="str">
        <x:v>Años de estaciones elegibles; fuente ENFEN con periodo y clasificación.</x:v>
      </x:c>
      <x:c r="Y13" s="78" t="str">
        <x:v>Fijar regla año–régimen normal/El Niño y tratamiento de años ambiguos; aplicarla de manera uniforme a cada estación; guardar fuente y fecha.</x:v>
      </x:c>
      <x:c r="Z13" s="78" t="str">
        <x:v>data/processed/regimenes.csv con estación, año, régimen, regla y referencia ENFEN.</x:v>
      </x:c>
    </x:row>
    <x:row r="14" ht="95" hidden="0" customHeight="1">
      <x:c r="A14" s="49" t="s">
        <x:v>109</x:v>
      </x:c>
      <x:c r="B14" s="49" t="s">
        <x:v>22</x:v>
      </x:c>
      <x:c r="C14" s="50" t="str">
        <x:v>Calibrar p01, p11, alfa y theta por estación/régimen y 100 bootstrap</x:v>
      </x:c>
      <x:c r="D14" s="49" t="str">
        <x:v>R2</x:v>
      </x:c>
      <x:c r="E14" s="49" t="s">
        <x:v>32</x:v>
      </x:c>
      <x:c r="F14" s="49" t="n">
        <x:v>7</x:v>
      </x:c>
      <x:c r="G14" s="49" t="n">
        <x:v>7</x:v>
      </x:c>
      <x:c r="H14" s="51" t="n">
        <x:f aca="0">DATE(2026,8,24)+(G14-1)*7+4-1+TIME(23,59,0)-48/24</x:f>
        <x:v>46301.99930555555</x:v>
      </x:c>
      <x:c r="I14" s="50" t="str">
        <x:v>Archivo de parámetros con 100 conjuntos por combinación y semilla de remuestreo registrada.</x:v>
      </x:c>
      <x:c r="J14" s="52" t="str">
        <x:v>Completado</x:v>
      </x:c>
      <x:c r="K14" s="53" t="n">
        <x:v>1</x:v>
      </x:c>
      <x:c r="L14" s="54" t="str">
        <x:f aca="0">IF(AND(L$3&gt;=$F14,L$3&lt;=$G14),1,"")</x:f>
      </x:c>
      <x:c r="M14" s="54" t="n">
        <x:f aca="0">IF(AND(M$3&gt;=$F14,M$3&lt;=$G14),1,"")</x:f>
        <x:v>1</x:v>
      </x:c>
      <x:c r="N14" s="54" t="str">
        <x:f aca="0">IF(AND(N$3&gt;=$F14,N$3&lt;=$G14),1,"")</x:f>
      </x:c>
      <x:c r="O14" s="54" t="str">
        <x:f aca="0">IF(AND(O$3&gt;=$F14,O$3&lt;=$G14),1,"")</x:f>
      </x:c>
      <x:c r="P14" s="54" t="str">
        <x:f aca="0">IF(AND(P$3&gt;=$F14,P$3&lt;=$G14),1,"")</x:f>
      </x:c>
      <x:c r="Q14" s="54" t="str">
        <x:f aca="0">IF(AND(Q$3&gt;=$F14,Q$3&lt;=$G14),1,"")</x:f>
      </x:c>
      <x:c r="R14" s="54" t="str">
        <x:f aca="0">IF(AND(R$3&gt;=$F14,R$3&lt;=$G14),1,"")</x:f>
      </x:c>
      <x:c r="S14" s="54" t="str">
        <x:f aca="0">IF(AND(S$3&gt;=$F14,S$3&lt;=$G14),1,"")</x:f>
      </x:c>
      <x:c r="T14" s="54" t="str">
        <x:f aca="0">IF(AND(T$3&gt;=$F14,T$3&lt;=$G14),1,"")</x:f>
      </x:c>
      <x:c r="U14" s="54" t="str">
        <x:f aca="0">IF(AND(U$3&gt;=$F14,U$3&lt;=$G14),1,"")</x:f>
      </x:c>
      <x:c r="V14" s="78" t="str">
        <x:v>scripts/run/calibrar.py</x:v>
      </x:c>
      <x:c r="W14" s="78" t="str">
        <x:v>CSV de parámetros p01, p11, alfa y theta; CSV de 100 remuestreos por grupo.</x:v>
      </x:c>
      <x:c r="X14" s="78" t="str">
        <x:v>Datos diarios depurados T08; regímenes T09; scripts/run/calibrar.py.</x:v>
      </x:c>
      <x:c r="Y14" s="78" t="str">
        <x:v>Estimar p01 y p11 desde transiciones seco/lluvia; ajustar alfa y theta para lluvia positiva por grupo; remuestrear 100 veces con semilla registrada; validar parámetros finitos y rangos.</x:v>
      </x:c>
      <x:c r="Z14" s="78" t="str">
        <x:v>data/processed/parametros.csv y data/processed/bootstrap_parametros.csv: grupo, parámetros, semilla y réplicas 1–100; log de validación.</x:v>
      </x:c>
    </x:row>
    <x:row r="15" ht="95" hidden="0" customHeight="1">
      <x:c r="A15" s="49" t="s">
        <x:v>110</x:v>
      </x:c>
      <x:c r="B15" s="49" t="s">
        <x:v>22</x:v>
      </x:c>
      <x:c r="C15" s="50" t="str">
        <x:v>Implementar escenario secuencial con Philox, gamma y balance Lindley</x:v>
      </x:c>
      <x:c r="D15" s="49" t="str">
        <x:v>R3</x:v>
      </x:c>
      <x:c r="E15" s="49" t="s">
        <x:v>21</x:v>
      </x:c>
      <x:c r="F15" s="49" t="n">
        <x:v>7</x:v>
      </x:c>
      <x:c r="G15" s="49" t="n">
        <x:v>7</x:v>
      </x:c>
      <x:c r="H15" s="51" t="n">
        <x:f aca="0">DATE(2026,8,24)+(G15-1)*7+4-1+TIME(23,59,0)-48/24</x:f>
        <x:v>46301.99930555555</x:v>
      </x:c>
      <x:c r="I15" s="50" t="str">
        <x:v>Compila con -Wall -Wextra y reproduce igual conteo e histograma con semilla fija.</x:v>
      </x:c>
      <x:c r="J15" s="52" t="str">
        <x:v>Completado</x:v>
      </x:c>
      <x:c r="K15" s="53" t="n">
        <x:v>1</x:v>
      </x:c>
      <x:c r="L15" s="54" t="str">
        <x:f aca="0">IF(AND(L$3&gt;=$F15,L$3&lt;=$G15),1,"")</x:f>
      </x:c>
      <x:c r="M15" s="54" t="n">
        <x:f aca="0">IF(AND(M$3&gt;=$F15,M$3&lt;=$G15),1,"")</x:f>
        <x:v>1</x:v>
      </x:c>
      <x:c r="N15" s="54" t="str">
        <x:f aca="0">IF(AND(N$3&gt;=$F15,N$3&lt;=$G15),1,"")</x:f>
      </x:c>
      <x:c r="O15" s="54" t="str">
        <x:f aca="0">IF(AND(O$3&gt;=$F15,O$3&lt;=$G15),1,"")</x:f>
      </x:c>
      <x:c r="P15" s="54" t="str">
        <x:f aca="0">IF(AND(P$3&gt;=$F15,P$3&lt;=$G15),1,"")</x:f>
      </x:c>
      <x:c r="Q15" s="54" t="str">
        <x:f aca="0">IF(AND(Q$3&gt;=$F15,Q$3&lt;=$G15),1,"")</x:f>
      </x:c>
      <x:c r="R15" s="54" t="str">
        <x:f aca="0">IF(AND(R$3&gt;=$F15,R$3&lt;=$G15),1,"")</x:f>
      </x:c>
      <x:c r="S15" s="54" t="str">
        <x:f aca="0">IF(AND(S$3&gt;=$F15,S$3&lt;=$G15),1,"")</x:f>
      </x:c>
      <x:c r="T15" s="54" t="str">
        <x:f aca="0">IF(AND(T$3&gt;=$F15,T$3&lt;=$G15),1,"")</x:f>
      </x:c>
      <x:c r="U15" s="54" t="str">
        <x:f aca="0">IF(AND(U$3&gt;=$F15,U$3&lt;=$G15),1,"")</x:f>
      </x:c>
      <x:c r="V15" s="78" t="str">
        <x:v>include/simulacion.hpp; src/core/philox_rng.cpp; src/core/modelo_lluvia.cpp; src/core/balance_hidrico.cpp; src/core/CMakeLists.txt; src/backends/serial/main.cpp; src/backends/serial/CMakeLists.txt</x:v>
      </x:c>
      <x:c r="W15" s="78" t="str">
        <x:v>C++ y ejecutable secuencial; salida reproducible con semilla fija.</x:v>
      </x:c>
      <x:c r="X15" s="78" t="str">
        <x:v>Contrato T02; parámetros T10; archivos include/simulacion.hpp y src/core/*; semilla fija.</x:v>
      </x:c>
      <x:c r="Y15" s="78" t="str">
        <x:v>Implementar Philox indexado por escenario/día, lluvia Markov-gamma y balance Lindley; ejecutar N escenarios secuenciales; compilar con -Wall -Wextra; repetir corrida idéntica.</x:v>
      </x:c>
      <x:c r="Z15" s="78" t="str">
        <x:v>Ejecutable serial; comando de compilación; dos salidas con k e histograma idénticos y semilla/metadatos.</x:v>
      </x:c>
    </x:row>
    <x:row r="16" ht="95" hidden="0" customHeight="1">
      <x:c r="A16" s="49" t="s">
        <x:v>111</x:v>
      </x:c>
      <x:c r="B16" s="49" t="s">
        <x:v>22</x:v>
      </x:c>
      <x:c r="C16" s="50" t="str">
        <x:v>Implementar Wilson, histograma de 512 clases y CSV de salida</x:v>
      </x:c>
      <x:c r="D16" s="49" t="str">
        <x:v>R3</x:v>
      </x:c>
      <x:c r="E16" s="49" t="s">
        <x:v>28</x:v>
      </x:c>
      <x:c r="F16" s="49" t="n">
        <x:v>7</x:v>
      </x:c>
      <x:c r="G16" s="49" t="n">
        <x:v>7</x:v>
      </x:c>
      <x:c r="H16" s="51" t="n">
        <x:f aca="0">DATE(2026,8,24)+(G16-1)*7+4-1+TIME(23,59,0)-48/24</x:f>
        <x:v>46301.99930555555</x:v>
      </x:c>
      <x:c r="I16" s="50" t="str">
        <x:v>Pruebas de casos límite y CSV con N, k, IC, histograma y metadatos documentados.</x:v>
      </x:c>
      <x:c r="J16" s="52" t="str">
        <x:v>Completado</x:v>
      </x:c>
      <x:c r="K16" s="53" t="n">
        <x:v>1</x:v>
      </x:c>
      <x:c r="L16" s="54" t="str">
        <x:f aca="0">IF(AND(L$3&gt;=$F16,L$3&lt;=$G16),1,"")</x:f>
      </x:c>
      <x:c r="M16" s="54" t="n">
        <x:f aca="0">IF(AND(M$3&gt;=$F16,M$3&lt;=$G16),1,"")</x:f>
        <x:v>1</x:v>
      </x:c>
      <x:c r="N16" s="54" t="str">
        <x:f aca="0">IF(AND(N$3&gt;=$F16,N$3&lt;=$G16),1,"")</x:f>
      </x:c>
      <x:c r="O16" s="54" t="str">
        <x:f aca="0">IF(AND(O$3&gt;=$F16,O$3&lt;=$G16),1,"")</x:f>
      </x:c>
      <x:c r="P16" s="54" t="str">
        <x:f aca="0">IF(AND(P$3&gt;=$F16,P$3&lt;=$G16),1,"")</x:f>
      </x:c>
      <x:c r="Q16" s="54" t="str">
        <x:f aca="0">IF(AND(Q$3&gt;=$F16,Q$3&lt;=$G16),1,"")</x:f>
      </x:c>
      <x:c r="R16" s="54" t="str">
        <x:f aca="0">IF(AND(R$3&gt;=$F16,R$3&lt;=$G16),1,"")</x:f>
      </x:c>
      <x:c r="S16" s="54" t="str">
        <x:f aca="0">IF(AND(S$3&gt;=$F16,S$3&lt;=$G16),1,"")</x:f>
      </x:c>
      <x:c r="T16" s="54" t="str">
        <x:f aca="0">IF(AND(T$3&gt;=$F16,T$3&lt;=$G16),1,"")</x:f>
      </x:c>
      <x:c r="U16" s="54" t="str">
        <x:f aca="0">IF(AND(U$3&gt;=$F16,U$3&lt;=$G16),1,"")</x:f>
      </x:c>
      <x:c r="V16" s="78" t="str">
        <x:v>include/resultados.hpp; src/stats/wilson.cpp; src/stats/histograma.cpp; src/stats/CMakeLists.txt; src/io/configuracion.cpp; src/io/resultados_csv.cpp; src/io/CMakeLists.txt</x:v>
      </x:c>
      <x:c r="W16" s="78" t="str">
        <x:v>C++; CSV de resultados con N, k, IC, histograma, semilla y metadatos.</x:v>
      </x:c>
      <x:c r="X16" s="78" t="str">
        <x:v>Contrato CSV T02; resultados por escenario de T11; 512 clases y fórmula Wilson.</x:v>
      </x:c>
      <x:c r="Y16" s="78" t="str">
        <x:v>Implementar Wilson para k=0, k=N y casos internos; agregar histograma de 512 clases; serializar N, k, IC, bins y metadatos en orden fijo; validar lectura posterior.</x:v>
      </x:c>
      <x:c r="Z16" s="78" t="str">
        <x:v>CSV de ejemplo generado por ejecución, esquema de columnas y log de pruebas de extremos; sin CSV vacío versionado.</x:v>
      </x:c>
    </x:row>
    <x:row r="17" ht="95" hidden="0" customHeight="1">
      <x:c r="A17" s="49" t="s">
        <x:v>112</x:v>
      </x:c>
      <x:c r="B17" s="49" t="s">
        <x:v>22</x:v>
      </x:c>
      <x:c r="C17" s="50" t="str">
        <x:v>Crear y ejecutar pruebas V6 estadísticas y V7 analítica</x:v>
      </x:c>
      <x:c r="D17" s="49" t="str">
        <x:v>R4</x:v>
      </x:c>
      <x:c r="E17" s="49" t="s">
        <x:v>32</x:v>
      </x:c>
      <x:c r="F17" s="49" t="n">
        <x:v>7</x:v>
      </x:c>
      <x:c r="G17" s="49" t="n">
        <x:v>7</x:v>
      </x:c>
      <x:c r="H17" s="51" t="n">
        <x:f aca="0">DATE(2026,8,24)+(G17-1)*7+4-1+TIME(23,59,0)-48/24</x:f>
        <x:v>46301.99930555555</x:v>
      </x:c>
      <x:c r="I17" s="50" t="str">
        <x:v>V6 compara estadísticos definidos; V7 para D=1 cae dentro del IC Wilson; casos guardados en tests/.</x:v>
      </x:c>
      <x:c r="J17" s="52" t="str">
        <x:v>Completado</x:v>
      </x:c>
      <x:c r="K17" s="53" t="n">
        <x:v>1</x:v>
      </x:c>
      <x:c r="L17" s="54" t="str">
        <x:f aca="0">IF(AND(L$3&gt;=$F17,L$3&lt;=$G17),1,"")</x:f>
      </x:c>
      <x:c r="M17" s="54" t="n">
        <x:f aca="0">IF(AND(M$3&gt;=$F17,M$3&lt;=$G17),1,"")</x:f>
        <x:v>1</x:v>
      </x:c>
      <x:c r="N17" s="54" t="str">
        <x:f aca="0">IF(AND(N$3&gt;=$F17,N$3&lt;=$G17),1,"")</x:f>
      </x:c>
      <x:c r="O17" s="54" t="str">
        <x:f aca="0">IF(AND(O$3&gt;=$F17,O$3&lt;=$G17),1,"")</x:f>
      </x:c>
      <x:c r="P17" s="54" t="str">
        <x:f aca="0">IF(AND(P$3&gt;=$F17,P$3&lt;=$G17),1,"")</x:f>
      </x:c>
      <x:c r="Q17" s="54" t="str">
        <x:f aca="0">IF(AND(Q$3&gt;=$F17,Q$3&lt;=$G17),1,"")</x:f>
      </x:c>
      <x:c r="R17" s="54" t="str">
        <x:f aca="0">IF(AND(R$3&gt;=$F17,R$3&lt;=$G17),1,"")</x:f>
      </x:c>
      <x:c r="S17" s="54" t="str">
        <x:f aca="0">IF(AND(S$3&gt;=$F17,S$3&lt;=$G17),1,"")</x:f>
      </x:c>
      <x:c r="T17" s="54" t="str">
        <x:f aca="0">IF(AND(T$3&gt;=$F17,T$3&lt;=$G17),1,"")</x:f>
      </x:c>
      <x:c r="U17" s="54" t="str">
        <x:f aca="0">IF(AND(U$3&gt;=$F17,U$3&lt;=$G17),1,"")</x:f>
      </x:c>
      <x:c r="V17" s="78" t="str">
        <x:v>tests/unit/test_estadistico.py; tests/unit/test_analitico.py</x:v>
      </x:c>
      <x:c r="W17" s="78" t="str">
        <x:v>Pruebas Python; reporte V6/V7 en log de CI.</x:v>
      </x:c>
      <x:c r="X17" s="78" t="str">
        <x:v>Ejecutable serial T11/T12; casos analíticos D=1; tests/unit/*.py.</x:v>
      </x:c>
      <x:c r="Y17" s="78" t="str">
        <x:v>Definir semillas y N pequeños; V6 compara conteos/estadísticos con valores calculados; V7 calcula solución D=1 y comprueba inclusión en IC Wilson; automatizar fallo con exit !=0.</x:v>
      </x:c>
      <x:c r="Z17" s="78" t="str">
        <x:v>Log de pytest/CI con V6 y V7, casos de prueba y valores esperado/observado.</x:v>
      </x:c>
    </x:row>
    <x:row r="18" ht="95" hidden="0" customHeight="1">
      <x:c r="A18" s="49" t="s">
        <x:v>113</x:v>
      </x:c>
      <x:c r="B18" s="49" t="s">
        <x:v>22</x:v>
      </x:c>
      <x:c r="C18" s="50" t="str">
        <x:v>Medir T1 secuencial y actualizar escalones de carga</x:v>
      </x:c>
      <x:c r="D18" s="49" t="str">
        <x:v>R5</x:v>
      </x:c>
      <x:c r="E18" s="49" t="s">
        <x:v>32</x:v>
      </x:c>
      <x:c r="F18" s="49" t="n">
        <x:v>7</x:v>
      </x:c>
      <x:c r="G18" s="49" t="n">
        <x:v>7</x:v>
      </x:c>
      <x:c r="H18" s="51" t="n">
        <x:f aca="0">DATE(2026,8,24)+(G18-1)*7+4-1+TIME(23,59,0)-48/24</x:f>
        <x:v>46301.99930555555</x:v>
      </x:c>
      <x:c r="I18" s="50" t="str">
        <x:v>CSV de una carga fija con calentamiento, cinco tiempos, media, desviación y CPU identificada.</x:v>
      </x:c>
      <x:c r="J18" s="52" t="str">
        <x:v>Completado</x:v>
      </x:c>
      <x:c r="K18" s="53" t="n">
        <x:v>1</x:v>
      </x:c>
      <x:c r="L18" s="54" t="str">
        <x:f aca="0">IF(AND(L$3&gt;=$F18,L$3&lt;=$G18),1,"")</x:f>
      </x:c>
      <x:c r="M18" s="54" t="n">
        <x:f aca="0">IF(AND(M$3&gt;=$F18,M$3&lt;=$G18),1,"")</x:f>
        <x:v>1</x:v>
      </x:c>
      <x:c r="N18" s="54" t="str">
        <x:f aca="0">IF(AND(N$3&gt;=$F18,N$3&lt;=$G18),1,"")</x:f>
      </x:c>
      <x:c r="O18" s="54" t="str">
        <x:f aca="0">IF(AND(O$3&gt;=$F18,O$3&lt;=$G18),1,"")</x:f>
      </x:c>
      <x:c r="P18" s="54" t="str">
        <x:f aca="0">IF(AND(P$3&gt;=$F18,P$3&lt;=$G18),1,"")</x:f>
      </x:c>
      <x:c r="Q18" s="54" t="str">
        <x:f aca="0">IF(AND(Q$3&gt;=$F18,Q$3&lt;=$G18),1,"")</x:f>
      </x:c>
      <x:c r="R18" s="54" t="str">
        <x:f aca="0">IF(AND(R$3&gt;=$F18,R$3&lt;=$G18),1,"")</x:f>
      </x:c>
      <x:c r="S18" s="54" t="str">
        <x:f aca="0">IF(AND(S$3&gt;=$F18,S$3&lt;=$G18),1,"")</x:f>
      </x:c>
      <x:c r="T18" s="54" t="str">
        <x:f aca="0">IF(AND(T$3&gt;=$F18,T$3&lt;=$G18),1,"")</x:f>
      </x:c>
      <x:c r="U18" s="54" t="str">
        <x:f aca="0">IF(AND(U$3&gt;=$F18,U$3&lt;=$G18),1,"")</x:f>
      </x:c>
      <x:c r="V18" s="78" t="str">
        <x:v>scripts/bench/medir_secuencial.py</x:v>
      </x:c>
      <x:c r="W18" s="78" t="str">
        <x:v>CSV T1 con cinco tiempos, calentamiento y metadatos de CPU.</x:v>
      </x:c>
      <x:c r="X18" s="78" t="str">
        <x:v>Ejecutable serial; máquina identificada; N de referencia; scripts/bench/medir_secuencial.py.</x:v>
      </x:c>
      <x:c r="Y18" s="78" t="str">
        <x:v>Registrar CPU, RAM, compilador y commit; hacer un calentamiento; correr cinco veces mismo N y semilla; guardar tiempos individuales, media y desviación.</x:v>
      </x:c>
      <x:c r="Z18" s="78" t="str">
        <x:v>results/bench/secuencial_t1.csv con cinco muestras, resumen y hardware; comando reproducible.</x:v>
      </x:c>
    </x:row>
    <x:row r="19" ht="95" hidden="0" customHeight="1">
      <x:c r="A19" s="49" t="s">
        <x:v>114</x:v>
      </x:c>
      <x:c r="B19" s="49" t="s">
        <x:v>29</x:v>
      </x:c>
      <x:c r="C19" s="50" t="str">
        <x:v>Implementar backend OpenMP con reducción de k, n e histograma</x:v>
      </x:c>
      <x:c r="D19" s="49" t="str">
        <x:v>R3</x:v>
      </x:c>
      <x:c r="E19" s="49" t="s">
        <x:v>74</x:v>
      </x:c>
      <x:c r="F19" s="49" t="n">
        <x:v>8</x:v>
      </x:c>
      <x:c r="G19" s="49" t="n">
        <x:v>8</x:v>
      </x:c>
      <x:c r="H19" s="51" t="n">
        <x:f aca="0">DATE(2026,8,24)+(G19-1)*7+4-1+TIME(23,59,0)-48/24</x:f>
        <x:v>46308.99930555555</x:v>
      </x:c>
      <x:c r="I19" s="50" t="str">
        <x:v>V1 da conteos e histograma idénticos al secuencial para 1/2/4 hilos.</x:v>
      </x:c>
      <x:c r="J19" s="52" t="str">
        <x:v>Completado</x:v>
      </x:c>
      <x:c r="K19" s="53" t="n">
        <x:v>1</x:v>
      </x:c>
      <x:c r="L19" s="54" t="str">
        <x:f aca="0">IF(AND(L$3&gt;=$F19,L$3&lt;=$G19),1,"")</x:f>
      </x:c>
      <x:c r="M19" s="54" t="str">
        <x:f aca="0">IF(AND(M$3&gt;=$F19,M$3&lt;=$G19),1,"")</x:f>
      </x:c>
      <x:c r="N19" s="54" t="n">
        <x:f aca="0">IF(AND(N$3&gt;=$F19,N$3&lt;=$G19),1,"")</x:f>
        <x:v>1</x:v>
      </x:c>
      <x:c r="O19" s="54" t="str">
        <x:f aca="0">IF(AND(O$3&gt;=$F19,O$3&lt;=$G19),1,"")</x:f>
      </x:c>
      <x:c r="P19" s="54" t="str">
        <x:f aca="0">IF(AND(P$3&gt;=$F19,P$3&lt;=$G19),1,"")</x:f>
      </x:c>
      <x:c r="Q19" s="54" t="str">
        <x:f aca="0">IF(AND(Q$3&gt;=$F19,Q$3&lt;=$G19),1,"")</x:f>
      </x:c>
      <x:c r="R19" s="54" t="str">
        <x:f aca="0">IF(AND(R$3&gt;=$F19,R$3&lt;=$G19),1,"")</x:f>
      </x:c>
      <x:c r="S19" s="54" t="str">
        <x:f aca="0">IF(AND(S$3&gt;=$F19,S$3&lt;=$G19),1,"")</x:f>
      </x:c>
      <x:c r="T19" s="54" t="str">
        <x:f aca="0">IF(AND(T$3&gt;=$F19,T$3&lt;=$G19),1,"")</x:f>
      </x:c>
      <x:c r="U19" s="54" t="str">
        <x:f aca="0">IF(AND(U$3&gt;=$F19,U$3&lt;=$G19),1,"")</x:f>
      </x:c>
      <x:c r="V19" s="78" t="str">
        <x:v>include/openmp.hpp; src/backends/openmp/main.cpp; src/backends/openmp/CMakeLists.txt</x:v>
      </x:c>
      <x:c r="W19" s="78" t="str">
        <x:v>C++/OpenMP y ejecutable; conteos equivalentes al secuencial.</x:v>
      </x:c>
      <x:c r="X19" s="78" t="str">
        <x:v>Interfaz T02; núcleo secuencial T11; include/openmp.hpp; OpenMP disponible.</x:v>
      </x:c>
      <x:c r="Y19" s="78" t="str">
        <x:v>Paralelizar escenarios con índice global estable; acumuladores privados de k, n y 512 bins; reducir sin carreras; exponer número de hilos y schedule; comparar 1/2/4 hilos con serial.</x:v>
      </x:c>
      <x:c r="Z19" s="78" t="str">
        <x:v>Ejecutable OpenMP y log V1 con mismo N/semilla: k, n e histograma idénticos para 1/2/4 hilos.</x:v>
      </x:c>
    </x:row>
    <x:row r="20" ht="95" hidden="0" customHeight="1">
      <x:c r="A20" s="49" t="s">
        <x:v>115</x:v>
      </x:c>
      <x:c r="B20" s="49" t="s">
        <x:v>29</x:v>
      </x:c>
      <x:c r="C20" s="50" t="str">
        <x:v>Medir OpenMP con 2/4/8/16 hilos, afinidad y schedules</x:v>
      </x:c>
      <x:c r="D20" s="49" t="str">
        <x:v>R4</x:v>
      </x:c>
      <x:c r="E20" s="49" t="s">
        <x:v>40</x:v>
      </x:c>
      <x:c r="F20" s="49" t="n">
        <x:v>8</x:v>
      </x:c>
      <x:c r="G20" s="49" t="n">
        <x:v>8</x:v>
      </x:c>
      <x:c r="H20" s="51" t="n">
        <x:f aca="0">DATE(2026,8,24)+(G20-1)*7+4-1+TIME(23,59,0)-48/24</x:f>
        <x:v>46308.99930555555</x:v>
      </x:c>
      <x:c r="I20" s="50" t="str">
        <x:v>CSV por punto con igual N/semilla, cinco tiempos, CPU y sobresuscripción identificada.</x:v>
      </x:c>
      <x:c r="J20" s="52" t="str">
        <x:v>Completado</x:v>
      </x:c>
      <x:c r="K20" s="53" t="n">
        <x:v>1</x:v>
      </x:c>
      <x:c r="L20" s="54" t="str">
        <x:f aca="0">IF(AND(L$3&gt;=$F20,L$3&lt;=$G20),1,"")</x:f>
      </x:c>
      <x:c r="M20" s="54" t="str">
        <x:f aca="0">IF(AND(M$3&gt;=$F20,M$3&lt;=$G20),1,"")</x:f>
      </x:c>
      <x:c r="N20" s="54" t="n">
        <x:f aca="0">IF(AND(N$3&gt;=$F20,N$3&lt;=$G20),1,"")</x:f>
        <x:v>1</x:v>
      </x:c>
      <x:c r="O20" s="54" t="str">
        <x:f aca="0">IF(AND(O$3&gt;=$F20,O$3&lt;=$G20),1,"")</x:f>
      </x:c>
      <x:c r="P20" s="54" t="str">
        <x:f aca="0">IF(AND(P$3&gt;=$F20,P$3&lt;=$G20),1,"")</x:f>
      </x:c>
      <x:c r="Q20" s="54" t="str">
        <x:f aca="0">IF(AND(Q$3&gt;=$F20,Q$3&lt;=$G20),1,"")</x:f>
      </x:c>
      <x:c r="R20" s="54" t="str">
        <x:f aca="0">IF(AND(R$3&gt;=$F20,R$3&lt;=$G20),1,"")</x:f>
      </x:c>
      <x:c r="S20" s="54" t="str">
        <x:f aca="0">IF(AND(S$3&gt;=$F20,S$3&lt;=$G20),1,"")</x:f>
      </x:c>
      <x:c r="T20" s="54" t="str">
        <x:f aca="0">IF(AND(T$3&gt;=$F20,T$3&lt;=$G20),1,"")</x:f>
      </x:c>
      <x:c r="U20" s="54" t="str">
        <x:f aca="0">IF(AND(U$3&gt;=$F20,U$3&lt;=$G20),1,"")</x:f>
      </x:c>
      <x:c r="V20" s="78" t="str">
        <x:v>scripts/bench/medir_openmp.py</x:v>
      </x:c>
      <x:c r="W20" s="78" t="str">
        <x:v>CSV por 2/4/8/16 hilos: N, semilla, afinidad, cinco tiempos y hardware.</x:v>
      </x:c>
      <x:c r="X20" s="78" t="str">
        <x:v>Ejecutable OpenMP T15; T1 T14; scripts/bench/medir_openmp.py.</x:v>
      </x:c>
      <x:c r="Y20" s="78" t="str">
        <x:v>Fijar N, semilla y afinidad; medir 2/4/8/16 hilos, static y dynamic según contrato; calentar y repetir cinco veces; registrar hilos físicos/lógicos y sobresuscripción.</x:v>
      </x:c>
      <x:c r="Z20" s="78" t="str">
        <x:v>results/bench/openmp.csv: configuración, cinco tiempos, CPU, afinidad, schedule y semilla; marca si 16 excede hardware.</x:v>
      </x:c>
    </x:row>
    <x:row r="21" ht="95" hidden="0" customHeight="1">
      <x:c r="A21" s="49" t="s">
        <x:v>116</x:v>
      </x:c>
      <x:c r="B21" s="49" t="s">
        <x:v>29</x:v>
      </x:c>
      <x:c r="C21" s="50" t="str">
        <x:v>Ejecutar V1 y V5 para OpenMP</x:v>
      </x:c>
      <x:c r="D21" s="49" t="str">
        <x:v>R4</x:v>
      </x:c>
      <x:c r="E21" s="49" t="str">
        <x:v>R3</x:v>
      </x:c>
      <x:c r="F21" s="49" t="n">
        <x:v>8</x:v>
      </x:c>
      <x:c r="G21" s="49" t="n">
        <x:v>8</x:v>
      </x:c>
      <x:c r="H21" s="51" t="n">
        <x:f aca="0">DATE(2026,8,24)+(G21-1)*7+4-1+TIME(23,59,0)-48/24</x:f>
        <x:v>46308.99930555555</x:v>
      </x:c>
      <x:c r="I21" s="50" t="str">
        <x:v>V1 en CI; reporte de ThreadSanitizer/Archer sin carreras o incidencias explicadas.</x:v>
      </x:c>
      <x:c r="J21" s="52" t="str">
        <x:v>Completado</x:v>
      </x:c>
      <x:c r="K21" s="53" t="n">
        <x:v>1</x:v>
      </x:c>
      <x:c r="L21" s="54" t="str">
        <x:f aca="0">IF(AND(L$3&gt;=$F21,L$3&lt;=$G21),1,"")</x:f>
      </x:c>
      <x:c r="M21" s="54" t="str">
        <x:f aca="0">IF(AND(M$3&gt;=$F21,M$3&lt;=$G21),1,"")</x:f>
      </x:c>
      <x:c r="N21" s="54" t="n">
        <x:f aca="0">IF(AND(N$3&gt;=$F21,N$3&lt;=$G21),1,"")</x:f>
        <x:v>1</x:v>
      </x:c>
      <x:c r="O21" s="54" t="str">
        <x:f aca="0">IF(AND(O$3&gt;=$F21,O$3&lt;=$G21),1,"")</x:f>
      </x:c>
      <x:c r="P21" s="54" t="str">
        <x:f aca="0">IF(AND(P$3&gt;=$F21,P$3&lt;=$G21),1,"")</x:f>
      </x:c>
      <x:c r="Q21" s="54" t="str">
        <x:f aca="0">IF(AND(Q$3&gt;=$F21,Q$3&lt;=$G21),1,"")</x:f>
      </x:c>
      <x:c r="R21" s="54" t="str">
        <x:f aca="0">IF(AND(R$3&gt;=$F21,R$3&lt;=$G21),1,"")</x:f>
      </x:c>
      <x:c r="S21" s="54" t="str">
        <x:f aca="0">IF(AND(S$3&gt;=$F21,S$3&lt;=$G21),1,"")</x:f>
      </x:c>
      <x:c r="T21" s="54" t="str">
        <x:f aca="0">IF(AND(T$3&gt;=$F21,T$3&lt;=$G21),1,"")</x:f>
      </x:c>
      <x:c r="U21" s="54" t="str">
        <x:f aca="0">IF(AND(U$3&gt;=$F21,U$3&lt;=$G21),1,"")</x:f>
      </x:c>
      <x:c r="V21" s="78" t="str">
        <x:v>tests/integration/test_openmp_equivalencia.py; tests/concurrency/test_openmp_carreras.py</x:v>
      </x:c>
      <x:c r="W21" s="78" t="str">
        <x:v>Pruebas Python y log V1/V5/ThreadSanitizer o Archer.</x:v>
      </x:c>
      <x:c r="X21" s="78" t="str">
        <x:v>Serial T11 y OpenMP T15; tests/integration y tests/concurrency.</x:v>
      </x:c>
      <x:c r="Y21" s="78" t="str">
        <x:v>V1 compara N, k, IC e histograma con misma semilla para 1/2/4/8 hilos; V5 ejecuta build instrumentado con ThreadSanitizer o Archer y registra limitaciones de herramienta.</x:v>
      </x:c>
      <x:c r="Z21" s="78" t="str">
        <x:v>Log de CI de V1 y archivo de diagnóstico V5 sin carreras, o incidencia reproducible con comando y estado.</x:v>
      </x:c>
    </x:row>
    <x:row r="22" ht="95" hidden="0" customHeight="1">
      <x:c r="A22" s="49" t="s">
        <x:v>117</x:v>
      </x:c>
      <x:c r="B22" s="49" t="s">
        <x:v>29</x:v>
      </x:c>
      <x:c r="C22" s="50" t="str">
        <x:v>Publicar tabla y gráficos OpenMP de tiempo, speedup y eficiencia</x:v>
      </x:c>
      <x:c r="D22" s="49" t="str">
        <x:v>R6</x:v>
      </x:c>
      <x:c r="E22" s="49" t="str">
        <x:v>R1</x:v>
      </x:c>
      <x:c r="F22" s="49" t="n">
        <x:v>8</x:v>
      </x:c>
      <x:c r="G22" s="49" t="n">
        <x:v>8</x:v>
      </x:c>
      <x:c r="H22" s="51" t="n">
        <x:f aca="0">DATE(2026,8,24)+(G22-1)*7+4-1+TIME(23,59,0)-48/24</x:f>
        <x:v>46308.99930555555</x:v>
      </x:c>
      <x:c r="I22" s="50" t="str">
        <x:v>Figuras derivadas de CSV T16 con media, desviación y configuración 2/4/8/16.</x:v>
      </x:c>
      <x:c r="J22" s="52" t="str">
        <x:v>Completado</x:v>
      </x:c>
      <x:c r="K22" s="53" t="n">
        <x:v>1</x:v>
      </x:c>
      <x:c r="L22" s="54" t="str">
        <x:f aca="0">IF(AND(L$3&gt;=$F22,L$3&lt;=$G22),1,"")</x:f>
      </x:c>
      <x:c r="M22" s="54" t="str">
        <x:f aca="0">IF(AND(M$3&gt;=$F22,M$3&lt;=$G22),1,"")</x:f>
      </x:c>
      <x:c r="N22" s="54" t="n">
        <x:f aca="0">IF(AND(N$3&gt;=$F22,N$3&lt;=$G22),1,"")</x:f>
        <x:v>1</x:v>
      </x:c>
      <x:c r="O22" s="54" t="str">
        <x:f aca="0">IF(AND(O$3&gt;=$F22,O$3&lt;=$G22),1,"")</x:f>
      </x:c>
      <x:c r="P22" s="54" t="str">
        <x:f aca="0">IF(AND(P$3&gt;=$F22,P$3&lt;=$G22),1,"")</x:f>
      </x:c>
      <x:c r="Q22" s="54" t="str">
        <x:f aca="0">IF(AND(Q$3&gt;=$F22,Q$3&lt;=$G22),1,"")</x:f>
      </x:c>
      <x:c r="R22" s="54" t="str">
        <x:f aca="0">IF(AND(R$3&gt;=$F22,R$3&lt;=$G22),1,"")</x:f>
      </x:c>
      <x:c r="S22" s="54" t="str">
        <x:f aca="0">IF(AND(S$3&gt;=$F22,S$3&lt;=$G22),1,"")</x:f>
      </x:c>
      <x:c r="T22" s="54" t="str">
        <x:f aca="0">IF(AND(T$3&gt;=$F22,T$3&lt;=$G22),1,"")</x:f>
      </x:c>
      <x:c r="U22" s="54" t="str">
        <x:f aca="0">IF(AND(U$3&gt;=$F22,U$3&lt;=$G22),1,"")</x:f>
      </x:c>
      <x:c r="V22" s="78" t="str">
        <x:v>scripts/bench/graficar_openmp.py</x:v>
      </x:c>
      <x:c r="W22" s="78" t="str">
        <x:v>CSV agregado y gráficos PNG/SVG de tiempo, speedup y eficiencia.</x:v>
      </x:c>
      <x:c r="X22" s="78" t="str">
        <x:v>CSV T14 y T16; scripts/bench/graficar_openmp.py.</x:v>
      </x:c>
      <x:c r="Y22" s="78" t="str">
        <x:v>Validar cinco muestras por punto; calcular media, desviación, speedup=T1/Tp y eficiencia=speedup/p; graficar p=2/4/8/16 con unidad y hardware.</x:v>
      </x:c>
      <x:c r="Z22" s="78" t="str">
        <x:v>results/figures/openmp_tiempo.png, openmp_speedup.png y openmp_eficiencia.png (o SVG) y CSV agregado con fuente T16.</x:v>
      </x:c>
    </x:row>
    <x:row r="23" ht="95" hidden="0" customHeight="1">
      <x:c r="A23" s="49" t="s">
        <x:v>118</x:v>
      </x:c>
      <x:c r="B23" s="49" t="s">
        <x:v>33</x:v>
      </x:c>
      <x:c r="C23" s="50" t="str">
        <x:v>Implementar MPI E1 estático con MPI_Reduce</x:v>
      </x:c>
      <x:c r="D23" s="49" t="str">
        <x:v>R1</x:v>
      </x:c>
      <x:c r="E23" s="49" t="s">
        <x:v>32</x:v>
      </x:c>
      <x:c r="F23" s="49" t="n">
        <x:v>9</x:v>
      </x:c>
      <x:c r="G23" s="49" t="n">
        <x:v>9</x:v>
      </x:c>
      <x:c r="H23" s="51" t="n">
        <x:f aca="0">DATE(2026,8,24)+(G23-1)*7+4-1+TIME(23,59,0)-48/24</x:f>
        <x:v>46315.99930555555</x:v>
      </x:c>
      <x:c r="I23" s="50" t="str">
        <x:v>V1 y V3 pasan con 2/4/8/16 procesos en los recursos disponibles.</x:v>
      </x:c>
      <x:c r="J23" s="52" t="s">
        <x:v>119</x:v>
      </x:c>
      <x:c r="K23" s="53" t="n">
        <x:v>0</x:v>
      </x:c>
      <x:c r="L23" s="54" t="str">
        <x:f aca="0">IF(AND(L$3&gt;=$F23,L$3&lt;=$G23),1,"")</x:f>
      </x:c>
      <x:c r="M23" s="54" t="str">
        <x:f aca="0">IF(AND(M$3&gt;=$F23,M$3&lt;=$G23),1,"")</x:f>
      </x:c>
      <x:c r="N23" s="54" t="str">
        <x:f aca="0">IF(AND(N$3&gt;=$F23,N$3&lt;=$G23),1,"")</x:f>
      </x:c>
      <x:c r="O23" s="54" t="n">
        <x:f aca="0">IF(AND(O$3&gt;=$F23,O$3&lt;=$G23),1,"")</x:f>
        <x:v>1</x:v>
      </x:c>
      <x:c r="P23" s="54" t="str">
        <x:f aca="0">IF(AND(P$3&gt;=$F23,P$3&lt;=$G23),1,"")</x:f>
      </x:c>
      <x:c r="Q23" s="54" t="str">
        <x:f aca="0">IF(AND(Q$3&gt;=$F23,Q$3&lt;=$G23),1,"")</x:f>
      </x:c>
      <x:c r="R23" s="54" t="str">
        <x:f aca="0">IF(AND(R$3&gt;=$F23,R$3&lt;=$G23),1,"")</x:f>
      </x:c>
      <x:c r="S23" s="54" t="str">
        <x:f aca="0">IF(AND(S$3&gt;=$F23,S$3&lt;=$G23),1,"")</x:f>
      </x:c>
      <x:c r="T23" s="54" t="str">
        <x:f aca="0">IF(AND(T$3&gt;=$F23,T$3&lt;=$G23),1,"")</x:f>
      </x:c>
      <x:c r="U23" s="54" t="str">
        <x:f aca="0">IF(AND(U$3&gt;=$F23,U$3&lt;=$G23),1,"")</x:f>
      </x:c>
      <x:c r="V23" s="78" t="str">
        <x:v>include/mpi_estatico.hpp; src/backends/mpi/estatico.cpp; src/backends/mpi/CMakeLists.txt</x:v>
      </x:c>
      <x:c r="W23" s="78" t="str">
        <x:v>C++/MPI, ejecutable E1 y log de reducción/cuentas.</x:v>
      </x:c>
      <x:c r="X23" s="78" t="str">
        <x:v>Contrato T02; núcleo T11; include/mpi_estatico.hpp; MPI instalado.</x:v>
      </x:c>
      <x:c r="Y23" s="78" t="str">
        <x:v>Repartir índices globales de N sin solape aun si N no divide procesos; calcular conteos locales; usar MPI_Reduce para k, n y bins; registrar rango por rank y verificar suma=N.</x:v>
      </x:c>
      <x:c r="Z23" s="78" t="str">
        <x:v>Ejecutable E1; log para 2/4/8/16 procesos con rangos, suma N y V1/V3 frente a serial.</x:v>
      </x:c>
    </x:row>
    <x:row r="24" ht="95" hidden="0" customHeight="1">
      <x:c r="A24" s="49" t="s">
        <x:v>120</x:v>
      </x:c>
      <x:c r="B24" s="49" t="s">
        <x:v>33</x:v>
      </x:c>
      <x:c r="C24" s="50" t="str">
        <x:v>Implementar MPI E2 dinámico con REQ/WORK/STOP</x:v>
      </x:c>
      <x:c r="D24" s="49" t="str">
        <x:v>R1</x:v>
      </x:c>
      <x:c r="E24" s="49" t="s">
        <x:v>74</x:v>
      </x:c>
      <x:c r="F24" s="49" t="n">
        <x:v>9</x:v>
      </x:c>
      <x:c r="G24" s="49" t="n">
        <x:v>9</x:v>
      </x:c>
      <x:c r="H24" s="51" t="n">
        <x:f aca="0">DATE(2026,8,24)+(G24-1)*7+4-1+TIME(23,59,0)-48/24</x:f>
        <x:v>46315.99930555555</x:v>
      </x:c>
      <x:c r="I24" s="50" t="str">
        <x:v>Sin bloqueos; 2/4/8/16 procesos terminan y procesan exactamente N escenarios.</x:v>
      </x:c>
      <x:c r="J24" s="52" t="s">
        <x:v>119</x:v>
      </x:c>
      <x:c r="K24" s="53" t="n">
        <x:v>0</x:v>
      </x:c>
      <x:c r="L24" s="54" t="str">
        <x:f aca="0">IF(AND(L$3&gt;=$F24,L$3&lt;=$G24),1,"")</x:f>
      </x:c>
      <x:c r="M24" s="54" t="str">
        <x:f aca="0">IF(AND(M$3&gt;=$F24,M$3&lt;=$G24),1,"")</x:f>
      </x:c>
      <x:c r="N24" s="54" t="str">
        <x:f aca="0">IF(AND(N$3&gt;=$F24,N$3&lt;=$G24),1,"")</x:f>
      </x:c>
      <x:c r="O24" s="54" t="n">
        <x:f aca="0">IF(AND(O$3&gt;=$F24,O$3&lt;=$G24),1,"")</x:f>
        <x:v>1</x:v>
      </x:c>
      <x:c r="P24" s="54" t="str">
        <x:f aca="0">IF(AND(P$3&gt;=$F24,P$3&lt;=$G24),1,"")</x:f>
      </x:c>
      <x:c r="Q24" s="54" t="str">
        <x:f aca="0">IF(AND(Q$3&gt;=$F24,Q$3&lt;=$G24),1,"")</x:f>
      </x:c>
      <x:c r="R24" s="54" t="str">
        <x:f aca="0">IF(AND(R$3&gt;=$F24,R$3&lt;=$G24),1,"")</x:f>
      </x:c>
      <x:c r="S24" s="54" t="str">
        <x:f aca="0">IF(AND(S$3&gt;=$F24,S$3&lt;=$G24),1,"")</x:f>
      </x:c>
      <x:c r="T24" s="54" t="str">
        <x:f aca="0">IF(AND(T$3&gt;=$F24,T$3&lt;=$G24),1,"")</x:f>
      </x:c>
      <x:c r="U24" s="54" t="str">
        <x:f aca="0">IF(AND(U$3&gt;=$F24,U$3&lt;=$G24),1,"")</x:f>
      </x:c>
      <x:c r="V24" s="78" t="str">
        <x:v>include/mpi_dinamico.hpp; src/backends/mpi/dinamico.cpp; src/backends/mpi/CMakeLists.txt</x:v>
      </x:c>
      <x:c r="W24" s="78" t="str">
        <x:v>C++/MPI, ejecutable E2 y log REQ/WORK/STOP.</x:v>
      </x:c>
      <x:c r="X24" s="78" t="str">
        <x:v>Contrato T02; núcleo T11; include/mpi_dinamico.hpp; MPI instalado.</x:v>
      </x:c>
      <x:c r="Y24" s="78" t="str">
        <x:v>Definir mensajes REQ, WORK y STOP y tamaño de lote; maestro asigna rangos únicos; trabajadores solicitan hasta STOP; reducir k, n y bins; probar N pequeño y no divisible.</x:v>
      </x:c>
      <x:c r="Z24" s="78" t="str">
        <x:v>Ejecutable E2; log de 2/4/8/16 procesos sin bloqueo, con cada rango único y suma=N.</x:v>
      </x:c>
    </x:row>
    <x:row r="25" ht="95" hidden="0" customHeight="1">
      <x:c r="A25" s="49" t="s">
        <x:v>121</x:v>
      </x:c>
      <x:c r="B25" s="49" t="s">
        <x:v>33</x:v>
      </x:c>
      <x:c r="C25" s="50" t="str">
        <x:v>Ejecutar V1/V3/V4 y barrido MPI E1/E2 con 2/4/8/16 procesos</x:v>
      </x:c>
      <x:c r="D25" s="49" t="str">
        <x:v>R3</x:v>
      </x:c>
      <x:c r="E25" s="49" t="s">
        <x:v>21</x:v>
      </x:c>
      <x:c r="F25" s="49" t="n">
        <x:v>9</x:v>
      </x:c>
      <x:c r="G25" s="49" t="n">
        <x:v>9</x:v>
      </x:c>
      <x:c r="H25" s="51" t="n">
        <x:f aca="0">DATE(2026,8,24)+(G25-1)*7+4-1+TIME(23,59,0)-48/24</x:f>
        <x:v>46315.99930555555</x:v>
      </x:c>
      <x:c r="I25" s="50" t="str">
        <x:v>CI verde y CSV de cinco tiempos por punto con mapa proceso–nodo y misma carga.</x:v>
      </x:c>
      <x:c r="J25" s="52" t="s">
        <x:v>119</x:v>
      </x:c>
      <x:c r="K25" s="53" t="n">
        <x:v>0</x:v>
      </x:c>
      <x:c r="L25" s="54" t="str">
        <x:f aca="0">IF(AND(L$3&gt;=$F25,L$3&lt;=$G25),1,"")</x:f>
      </x:c>
      <x:c r="M25" s="54" t="str">
        <x:f aca="0">IF(AND(M$3&gt;=$F25,M$3&lt;=$G25),1,"")</x:f>
      </x:c>
      <x:c r="N25" s="54" t="str">
        <x:f aca="0">IF(AND(N$3&gt;=$F25,N$3&lt;=$G25),1,"")</x:f>
      </x:c>
      <x:c r="O25" s="54" t="n">
        <x:f aca="0">IF(AND(O$3&gt;=$F25,O$3&lt;=$G25),1,"")</x:f>
        <x:v>1</x:v>
      </x:c>
      <x:c r="P25" s="54" t="str">
        <x:f aca="0">IF(AND(P$3&gt;=$F25,P$3&lt;=$G25),1,"")</x:f>
      </x:c>
      <x:c r="Q25" s="54" t="str">
        <x:f aca="0">IF(AND(Q$3&gt;=$F25,Q$3&lt;=$G25),1,"")</x:f>
      </x:c>
      <x:c r="R25" s="54" t="str">
        <x:f aca="0">IF(AND(R$3&gt;=$F25,R$3&lt;=$G25),1,"")</x:f>
      </x:c>
      <x:c r="S25" s="54" t="str">
        <x:f aca="0">IF(AND(S$3&gt;=$F25,S$3&lt;=$G25),1,"")</x:f>
      </x:c>
      <x:c r="T25" s="54" t="str">
        <x:f aca="0">IF(AND(T$3&gt;=$F25,T$3&lt;=$G25),1,"")</x:f>
      </x:c>
      <x:c r="U25" s="54" t="str">
        <x:f aca="0">IF(AND(U$3&gt;=$F25,U$3&lt;=$G25),1,"")</x:f>
      </x:c>
      <x:c r="V25" s="78" t="str">
        <x:v>tests/integration/test_mpi.py; scripts/bench/medir_mpi.py</x:v>
      </x:c>
      <x:c r="W25" s="78" t="str">
        <x:v>Log V1/V3/V4 y CSV 2/4/8/16 procesos con cinco tiempos por punto.</x:v>
      </x:c>
      <x:c r="X25" s="78" t="str">
        <x:v>E1 T19 y E2 T20; tests/integration/test_mpi.py; scripts/bench/medir_mpi.py.</x:v>
      </x:c>
      <x:c r="Y25" s="78" t="str">
        <x:v>V1 compara resultados con serial; V3 verifica cobertura exacta de índices; V4 fuerza N no divisible y rangos pequeños; medir E1/E2 en 2/4/8/16 procesos con cinco repeticiones.</x:v>
      </x:c>
      <x:c r="Z25" s="78" t="str">
        <x:v>Logs V1/V3/V4 y results/bench/mpi.csv con N, semilla, esquema, procesos, nodo/rank y cinco tiempos.</x:v>
      </x:c>
    </x:row>
    <x:row r="26" ht="95" hidden="0" customHeight="1">
      <x:c r="A26" s="49" t="s">
        <x:v>122</x:v>
      </x:c>
      <x:c r="B26" s="49" t="s">
        <x:v>33</x:v>
      </x:c>
      <x:c r="C26" s="50" t="str">
        <x:v>Preparar Compose para MPI E1/E2 y exportación de resultados</x:v>
      </x:c>
      <x:c r="D26" s="49" t="str">
        <x:v>R5</x:v>
      </x:c>
      <x:c r="E26" s="49" t="s">
        <x:v>21</x:v>
      </x:c>
      <x:c r="F26" s="49" t="n">
        <x:v>9</x:v>
      </x:c>
      <x:c r="G26" s="49" t="n">
        <x:v>9</x:v>
      </x:c>
      <x:c r="H26" s="51" t="n">
        <x:f aca="0">DATE(2026,8,24)+(G26-1)*7+4-1+TIME(23,59,0)-48/24</x:f>
        <x:v>46315.99930555555</x:v>
      </x:c>
      <x:c r="I26" s="50" t="str">
        <x:v>Un comando levanta contenedores, corre ambos esquemas y guarda CSV y logs.</x:v>
      </x:c>
      <x:c r="J26" s="52" t="s">
        <x:v>119</x:v>
      </x:c>
      <x:c r="K26" s="53" t="n">
        <x:v>0</x:v>
      </x:c>
      <x:c r="L26" s="54" t="str">
        <x:f aca="0">IF(AND(L$3&gt;=$F26,L$3&lt;=$G26),1,"")</x:f>
      </x:c>
      <x:c r="M26" s="54" t="str">
        <x:f aca="0">IF(AND(M$3&gt;=$F26,M$3&lt;=$G26),1,"")</x:f>
      </x:c>
      <x:c r="N26" s="54" t="str">
        <x:f aca="0">IF(AND(N$3&gt;=$F26,N$3&lt;=$G26),1,"")</x:f>
      </x:c>
      <x:c r="O26" s="54" t="n">
        <x:f aca="0">IF(AND(O$3&gt;=$F26,O$3&lt;=$G26),1,"")</x:f>
        <x:v>1</x:v>
      </x:c>
      <x:c r="P26" s="54" t="str">
        <x:f aca="0">IF(AND(P$3&gt;=$F26,P$3&lt;=$G26),1,"")</x:f>
      </x:c>
      <x:c r="Q26" s="54" t="str">
        <x:f aca="0">IF(AND(Q$3&gt;=$F26,Q$3&lt;=$G26),1,"")</x:f>
      </x:c>
      <x:c r="R26" s="54" t="str">
        <x:f aca="0">IF(AND(R$3&gt;=$F26,R$3&lt;=$G26),1,"")</x:f>
      </x:c>
      <x:c r="S26" s="54" t="str">
        <x:f aca="0">IF(AND(S$3&gt;=$F26,S$3&lt;=$G26),1,"")</x:f>
      </x:c>
      <x:c r="T26" s="54" t="str">
        <x:f aca="0">IF(AND(T$3&gt;=$F26,T$3&lt;=$G26),1,"")</x:f>
      </x:c>
      <x:c r="U26" s="54" t="str">
        <x:f aca="0">IF(AND(U$3&gt;=$F26,U$3&lt;=$G26),1,"")</x:f>
      </x:c>
      <x:c r="V26" s="78" t="str">
        <x:v>docker/compose.yaml</x:v>
      </x:c>
      <x:c r="W26" s="78" t="str">
        <x:v>YAML Compose; logs y CSV de E1/E2 exportados desde contenedores.</x:v>
      </x:c>
      <x:c r="X26" s="78" t="str">
        <x:v>Imagen T05; ejecutables E1/E2; docker/compose.yaml.</x:v>
      </x:c>
      <x:c r="Y26" s="78" t="str">
        <x:v>Definir servicios y red; montar carpeta de salida; documentar un comando para lanzar E1 y E2; comprobar salida CSV y código de retorno; guardar logs de contenedor.</x:v>
      </x:c>
      <x:c r="Z26" s="78" t="str">
        <x:v>compose.yaml, comando de ejecución y logs E1/E2; CSV exportados con rutas y permisos verificables.</x:v>
      </x:c>
    </x:row>
    <x:row r="27" ht="95" hidden="0" customHeight="1">
      <x:c r="A27" s="49" t="s">
        <x:v>123</x:v>
      </x:c>
      <x:c r="B27" s="49" t="s">
        <x:v>33</x:v>
      </x:c>
      <x:c r="C27" s="50" t="str">
        <x:v>Inventariar GPU y decidir disponibilidad para EXT1/EXT2</x:v>
      </x:c>
      <x:c r="D27" s="49" t="str">
        <x:v>R4</x:v>
      </x:c>
      <x:c r="E27" s="49" t="s">
        <x:v>21</x:v>
      </x:c>
      <x:c r="F27" s="49" t="n">
        <x:v>9</x:v>
      </x:c>
      <x:c r="G27" s="49" t="n">
        <x:v>9</x:v>
      </x:c>
      <x:c r="H27" s="51" t="n">
        <x:f aca="0">DATE(2026,8,24)+(G27-1)*7+4-1+TIME(23,59,0)-48/24</x:f>
        <x:v>46315.99930555555</x:v>
      </x:c>
      <x:c r="I27" s="50" t="str">
        <x:v>Registro de modelo, memoria, controlador y entorno; decisión interna con fecha y alternativa CPU.</x:v>
      </x:c>
      <x:c r="J27" s="52" t="s">
        <x:v>119</x:v>
      </x:c>
      <x:c r="K27" s="53" t="n">
        <x:v>0</x:v>
      </x:c>
      <x:c r="L27" s="54" t="str">
        <x:f aca="0">IF(AND(L$3&gt;=$F27,L$3&lt;=$G27),1,"")</x:f>
      </x:c>
      <x:c r="M27" s="54" t="str">
        <x:f aca="0">IF(AND(M$3&gt;=$F27,M$3&lt;=$G27),1,"")</x:f>
      </x:c>
      <x:c r="N27" s="54" t="str">
        <x:f aca="0">IF(AND(N$3&gt;=$F27,N$3&lt;=$G27),1,"")</x:f>
      </x:c>
      <x:c r="O27" s="54" t="n">
        <x:f aca="0">IF(AND(O$3&gt;=$F27,O$3&lt;=$G27),1,"")</x:f>
        <x:v>1</x:v>
      </x:c>
      <x:c r="P27" s="54" t="str">
        <x:f aca="0">IF(AND(P$3&gt;=$F27,P$3&lt;=$G27),1,"")</x:f>
      </x:c>
      <x:c r="Q27" s="54" t="str">
        <x:f aca="0">IF(AND(Q$3&gt;=$F27,Q$3&lt;=$G27),1,"")</x:f>
      </x:c>
      <x:c r="R27" s="54" t="str">
        <x:f aca="0">IF(AND(R$3&gt;=$F27,R$3&lt;=$G27),1,"")</x:f>
      </x:c>
      <x:c r="S27" s="54" t="str">
        <x:f aca="0">IF(AND(S$3&gt;=$F27,S$3&lt;=$G27),1,"")</x:f>
      </x:c>
      <x:c r="T27" s="54" t="str">
        <x:f aca="0">IF(AND(T$3&gt;=$F27,T$3&lt;=$G27),1,"")</x:f>
      </x:c>
      <x:c r="U27" s="54" t="str">
        <x:f aca="0">IF(AND(U$3&gt;=$F27,U$3&lt;=$G27),1,"")</x:f>
      </x:c>
      <x:c r="V27" s="78" t="str">
        <x:v>—</x:v>
      </x:c>
      <x:c r="W27" s="78" t="str">
        <x:v>Inventario GPU en MD: modelo, SM, memoria, software y disponibilidad.</x:v>
      </x:c>
      <x:c r="X27" s="78" t="str">
        <x:v>Máquinas disponibles; nvidia-smi/nvcc cuando existan; criterios EXT1/EXT2.</x:v>
      </x:c>
      <x:c r="Y27" s="78" t="str">
        <x:v>Registrar GPU, memoria, SM, controlador, CUDA Toolkit y acceso; ejecutar detección; clasificar disponibilidad y restricciones con fecha.</x:v>
      </x:c>
      <x:c r="Z27" s="78" t="str">
        <x:v>docs/inventario-gpu.md con comandos y salida resumida, más decisión preliminar CPU/CUDA.</x:v>
      </x:c>
    </x:row>
    <x:row r="28" ht="95" hidden="0" customHeight="1">
      <x:c r="A28" s="49" t="s">
        <x:v>124</x:v>
      </x:c>
      <x:c r="B28" s="49" t="s">
        <x:v>36</x:v>
      </x:c>
      <x:c r="C28" s="50" t="str">
        <x:v>Integrar MPI + OpenMP con MPI_THREAD_FUNNELED y afinidad</x:v>
      </x:c>
      <x:c r="D28" s="49" t="str">
        <x:v>R1</x:v>
      </x:c>
      <x:c r="E28" s="49" t="s">
        <x:v>32</x:v>
      </x:c>
      <x:c r="F28" s="49" t="n">
        <x:v>10</x:v>
      </x:c>
      <x:c r="G28" s="49" t="n">
        <x:v>10</x:v>
      </x:c>
      <x:c r="H28" s="51" t="n">
        <x:f aca="0">DATE(2026,8,24)+(G28-1)*7+4-1+TIME(23,59,0)-48/24</x:f>
        <x:v>46322.99930555555</x:v>
      </x:c>
      <x:c r="I28" s="50" t="str">
        <x:v>V1 en verde para al menos tres pares procesos × hilos; nivel MPI concedido registrado.</x:v>
      </x:c>
      <x:c r="J28" s="52" t="s">
        <x:v>119</x:v>
      </x:c>
      <x:c r="K28" s="53" t="n">
        <x:v>0</x:v>
      </x:c>
      <x:c r="L28" s="54" t="str">
        <x:f aca="0">IF(AND(L$3&gt;=$F28,L$3&lt;=$G28),1,"")</x:f>
      </x:c>
      <x:c r="M28" s="54" t="str">
        <x:f aca="0">IF(AND(M$3&gt;=$F28,M$3&lt;=$G28),1,"")</x:f>
      </x:c>
      <x:c r="N28" s="54" t="str">
        <x:f aca="0">IF(AND(N$3&gt;=$F28,N$3&lt;=$G28),1,"")</x:f>
      </x:c>
      <x:c r="O28" s="54" t="str">
        <x:f aca="0">IF(AND(O$3&gt;=$F28,O$3&lt;=$G28),1,"")</x:f>
      </x:c>
      <x:c r="P28" s="54" t="n">
        <x:f aca="0">IF(AND(P$3&gt;=$F28,P$3&lt;=$G28),1,"")</x:f>
        <x:v>1</x:v>
      </x:c>
      <x:c r="Q28" s="54" t="str">
        <x:f aca="0">IF(AND(Q$3&gt;=$F28,Q$3&lt;=$G28),1,"")</x:f>
      </x:c>
      <x:c r="R28" s="54" t="str">
        <x:f aca="0">IF(AND(R$3&gt;=$F28,R$3&lt;=$G28),1,"")</x:f>
      </x:c>
      <x:c r="S28" s="54" t="str">
        <x:f aca="0">IF(AND(S$3&gt;=$F28,S$3&lt;=$G28),1,"")</x:f>
      </x:c>
      <x:c r="T28" s="54" t="str">
        <x:f aca="0">IF(AND(T$3&gt;=$F28,T$3&lt;=$G28),1,"")</x:f>
      </x:c>
      <x:c r="U28" s="54" t="str">
        <x:f aca="0">IF(AND(U$3&gt;=$F28,U$3&lt;=$G28),1,"")</x:f>
      </x:c>
      <x:c r="V28" s="78" t="str">
        <x:v>include/hibrido.hpp; src/backends/hybrid/main.cpp; src/backends/hybrid/CMakeLists.txt</x:v>
      </x:c>
      <x:c r="W28" s="78" t="str">
        <x:v>C++/MPI/OpenMP, ejecutable híbrido y log de nivel de hilos.</x:v>
      </x:c>
      <x:c r="X28" s="78" t="str">
        <x:v>E1 T19; OpenMP T15; include/hibrido.hpp; MPI_THREAD_FUNNELED.</x:v>
      </x:c>
      <x:c r="Y28" s="78" t="str">
        <x:v>Llamar MPI_Init_thread y comprobar nivel concedido; repartir escenarios entre ranks e hilos; fijar afinidad y reducción por nivel; probar al menos (1x2),(2x2),(2x4).</x:v>
      </x:c>
      <x:c r="Z28" s="78" t="str">
        <x:v>Ejecutable híbrido; log de nivel MPI, procesos×hilos, afinidad y V1 igual a serial.</x:v>
      </x:c>
    </x:row>
    <x:row r="29" ht="95" hidden="0" customHeight="1">
      <x:c r="A29" s="49" t="s">
        <x:v>125</x:v>
      </x:c>
      <x:c r="B29" s="49" t="s">
        <x:v>36</x:v>
      </x:c>
      <x:c r="C29" s="50" t="str">
        <x:v>Desplegar Swarm en tres equipos físicos y ejecutar el híbrido</x:v>
      </x:c>
      <x:c r="D29" s="49" t="str">
        <x:v>R5</x:v>
      </x:c>
      <x:c r="E29" s="49" t="s">
        <x:v>21</x:v>
      </x:c>
      <x:c r="F29" s="49" t="n">
        <x:v>10</x:v>
      </x:c>
      <x:c r="G29" s="49" t="n">
        <x:v>10</x:v>
      </x:c>
      <x:c r="H29" s="51" t="n">
        <x:f aca="0">DATE(2026,8,24)+(G29-1)*7+4-1+TIME(23,59,0)-48/24</x:f>
        <x:v>46322.99930555555</x:v>
      </x:c>
      <x:c r="I29" s="50" t="str">
        <x:v>docker node ls muestra tres equipos; log del mismo N completado sin pérdida de escenarios.</x:v>
      </x:c>
      <x:c r="J29" s="52" t="s">
        <x:v>119</x:v>
      </x:c>
      <x:c r="K29" s="53" t="n">
        <x:v>0</x:v>
      </x:c>
      <x:c r="L29" s="54" t="str">
        <x:f aca="0">IF(AND(L$3&gt;=$F29,L$3&lt;=$G29),1,"")</x:f>
      </x:c>
      <x:c r="M29" s="54" t="str">
        <x:f aca="0">IF(AND(M$3&gt;=$F29,M$3&lt;=$G29),1,"")</x:f>
      </x:c>
      <x:c r="N29" s="54" t="str">
        <x:f aca="0">IF(AND(N$3&gt;=$F29,N$3&lt;=$G29),1,"")</x:f>
      </x:c>
      <x:c r="O29" s="54" t="str">
        <x:f aca="0">IF(AND(O$3&gt;=$F29,O$3&lt;=$G29),1,"")</x:f>
      </x:c>
      <x:c r="P29" s="54" t="n">
        <x:f aca="0">IF(AND(P$3&gt;=$F29,P$3&lt;=$G29),1,"")</x:f>
        <x:v>1</x:v>
      </x:c>
      <x:c r="Q29" s="54" t="str">
        <x:f aca="0">IF(AND(Q$3&gt;=$F29,Q$3&lt;=$G29),1,"")</x:f>
      </x:c>
      <x:c r="R29" s="54" t="str">
        <x:f aca="0">IF(AND(R$3&gt;=$F29,R$3&lt;=$G29),1,"")</x:f>
      </x:c>
      <x:c r="S29" s="54" t="str">
        <x:f aca="0">IF(AND(S$3&gt;=$F29,S$3&lt;=$G29),1,"")</x:f>
      </x:c>
      <x:c r="T29" s="54" t="str">
        <x:f aca="0">IF(AND(T$3&gt;=$F29,T$3&lt;=$G29),1,"")</x:f>
      </x:c>
      <x:c r="U29" s="54" t="str">
        <x:f aca="0">IF(AND(U$3&gt;=$F29,U$3&lt;=$G29),1,"")</x:f>
      </x:c>
      <x:c r="V29" s="78" t="str">
        <x:v>docker/swarm-stack.yaml; scripts/deploy/desplegar_swarm.ps1</x:v>
      </x:c>
      <x:c r="W29" s="78" t="str">
        <x:v>YAML/PowerShell; log de Swarm y CSV de ejecución multinodo.</x:v>
      </x:c>
      <x:c r="X29" s="78" t="str">
        <x:v>Tres equipos físicos con Docker/Swarm; imagen T05; híbrido T24; stack YAML.</x:v>
      </x:c>
      <x:c r="Y29" s="78" t="str">
        <x:v>Inicializar manager, unir dos workers, desplegar stack, registrar docker node ls; correr igual N y semilla; recoger logs y verificar suma de escenarios; cerrar sesión de prueba.</x:v>
      </x:c>
      <x:c r="Z29" s="78" t="str">
        <x:v>Log con tres nodos distintos, comando de despliegue y results/bench/swarm.csv sin escenarios perdidos.</x:v>
      </x:c>
    </x:row>
    <x:row r="30" ht="95" hidden="0" customHeight="1">
      <x:c r="A30" s="49" t="s">
        <x:v>126</x:v>
      </x:c>
      <x:c r="B30" s="49" t="s">
        <x:v>36</x:v>
      </x:c>
      <x:c r="C30" s="50" t="str">
        <x:v>Automatizar barridos con N, procesos, hilos, semilla y hardware parametrizables</x:v>
      </x:c>
      <x:c r="D30" s="49" t="str">
        <x:v>R5</x:v>
      </x:c>
      <x:c r="E30" s="49" t="s">
        <x:v>63</x:v>
      </x:c>
      <x:c r="F30" s="49" t="n">
        <x:v>10</x:v>
      </x:c>
      <x:c r="G30" s="49" t="n">
        <x:v>10</x:v>
      </x:c>
      <x:c r="H30" s="51" t="n">
        <x:f aca="0">DATE(2026,8,24)+(G30-1)*7+4-1+TIME(23,59,0)-48/24</x:f>
        <x:v>46322.99930555555</x:v>
      </x:c>
      <x:c r="I30" s="50" t="str">
        <x:v>Un comando genera CSV con commit, CPU, memoria, red, afinidad y cinco repeticiones.</x:v>
      </x:c>
      <x:c r="J30" s="52" t="s">
        <x:v>119</x:v>
      </x:c>
      <x:c r="K30" s="53" t="n">
        <x:v>0</x:v>
      </x:c>
      <x:c r="L30" s="54" t="str">
        <x:f aca="0">IF(AND(L$3&gt;=$F30,L$3&lt;=$G30),1,"")</x:f>
      </x:c>
      <x:c r="M30" s="54" t="str">
        <x:f aca="0">IF(AND(M$3&gt;=$F30,M$3&lt;=$G30),1,"")</x:f>
      </x:c>
      <x:c r="N30" s="54" t="str">
        <x:f aca="0">IF(AND(N$3&gt;=$F30,N$3&lt;=$G30),1,"")</x:f>
      </x:c>
      <x:c r="O30" s="54" t="str">
        <x:f aca="0">IF(AND(O$3&gt;=$F30,O$3&lt;=$G30),1,"")</x:f>
      </x:c>
      <x:c r="P30" s="54" t="n">
        <x:f aca="0">IF(AND(P$3&gt;=$F30,P$3&lt;=$G30),1,"")</x:f>
        <x:v>1</x:v>
      </x:c>
      <x:c r="Q30" s="54" t="str">
        <x:f aca="0">IF(AND(Q$3&gt;=$F30,Q$3&lt;=$G30),1,"")</x:f>
      </x:c>
      <x:c r="R30" s="54" t="str">
        <x:f aca="0">IF(AND(R$3&gt;=$F30,R$3&lt;=$G30),1,"")</x:f>
      </x:c>
      <x:c r="S30" s="54" t="str">
        <x:f aca="0">IF(AND(S$3&gt;=$F30,S$3&lt;=$G30),1,"")</x:f>
      </x:c>
      <x:c r="T30" s="54" t="str">
        <x:f aca="0">IF(AND(T$3&gt;=$F30,T$3&lt;=$G30),1,"")</x:f>
      </x:c>
      <x:c r="U30" s="54" t="str">
        <x:f aca="0">IF(AND(U$3&gt;=$F30,U$3&lt;=$G30),1,"")</x:f>
      </x:c>
      <x:c r="V30" s="78" t="str">
        <x:v>scripts/bench/ejecutar_barridos.py</x:v>
      </x:c>
      <x:c r="W30" s="78" t="str">
        <x:v>Script Python; CSV por corrida con N, procesos, hilos, semilla, hardware y commit.</x:v>
      </x:c>
      <x:c r="X30" s="78" t="str">
        <x:v>Serial/OpenMP/MPI/híbrido disponibles; contrato T02; scripts/bench/ejecutar_barridos.py.</x:v>
      </x:c>
      <x:c r="Y30" s="78" t="str">
        <x:v>Aceptar N, procesos, hilos, semilla, backend y repeticiones como argumentos; ejecutar calentamiento y cinco corridas; capturar commit, CPU/RAM/red/afinidad y código de salida.</x:v>
      </x:c>
      <x:c r="Z30" s="78" t="str">
        <x:v>Script invocable por un comando; CSV por corrida con identificador único, parámetros, cinco tiempos y metadatos completos.</x:v>
      </x:c>
    </x:row>
    <x:row r="31" ht="95" hidden="0" customHeight="1">
      <x:c r="A31" s="49" t="s">
        <x:v>127</x:v>
      </x:c>
      <x:c r="B31" s="49" t="s">
        <x:v>36</x:v>
      </x:c>
      <x:c r="C31" s="50" t="str">
        <x:v>Medir híbrido con 2/4/8/16 núcleos CPU totales</x:v>
      </x:c>
      <x:c r="D31" s="49" t="str">
        <x:v>R4</x:v>
      </x:c>
      <x:c r="E31" s="49" t="s">
        <x:v>40</x:v>
      </x:c>
      <x:c r="F31" s="49" t="n">
        <x:v>10</x:v>
      </x:c>
      <x:c r="G31" s="49" t="n">
        <x:v>10</x:v>
      </x:c>
      <x:c r="H31" s="51" t="n">
        <x:f aca="0">DATE(2026,8,24)+(G31-1)*7+4-1+TIME(23,59,0)-48/24</x:f>
        <x:v>46322.99930555555</x:v>
      </x:c>
      <x:c r="I31" s="50" t="str">
        <x:v>CSV de al menos una factorización procesos × hilos por presupuesto, igual N/semilla y cinco repeticiones.</x:v>
      </x:c>
      <x:c r="J31" s="52" t="s">
        <x:v>119</x:v>
      </x:c>
      <x:c r="K31" s="53" t="n">
        <x:v>0</x:v>
      </x:c>
      <x:c r="L31" s="54" t="str">
        <x:f aca="0">IF(AND(L$3&gt;=$F31,L$3&lt;=$G31),1,"")</x:f>
      </x:c>
      <x:c r="M31" s="54" t="str">
        <x:f aca="0">IF(AND(M$3&gt;=$F31,M$3&lt;=$G31),1,"")</x:f>
      </x:c>
      <x:c r="N31" s="54" t="str">
        <x:f aca="0">IF(AND(N$3&gt;=$F31,N$3&lt;=$G31),1,"")</x:f>
      </x:c>
      <x:c r="O31" s="54" t="str">
        <x:f aca="0">IF(AND(O$3&gt;=$F31,O$3&lt;=$G31),1,"")</x:f>
      </x:c>
      <x:c r="P31" s="54" t="n">
        <x:f aca="0">IF(AND(P$3&gt;=$F31,P$3&lt;=$G31),1,"")</x:f>
        <x:v>1</x:v>
      </x:c>
      <x:c r="Q31" s="54" t="str">
        <x:f aca="0">IF(AND(Q$3&gt;=$F31,Q$3&lt;=$G31),1,"")</x:f>
      </x:c>
      <x:c r="R31" s="54" t="str">
        <x:f aca="0">IF(AND(R$3&gt;=$F31,R$3&lt;=$G31),1,"")</x:f>
      </x:c>
      <x:c r="S31" s="54" t="str">
        <x:f aca="0">IF(AND(S$3&gt;=$F31,S$3&lt;=$G31),1,"")</x:f>
      </x:c>
      <x:c r="T31" s="54" t="str">
        <x:f aca="0">IF(AND(T$3&gt;=$F31,T$3&lt;=$G31),1,"")</x:f>
      </x:c>
      <x:c r="U31" s="54" t="str">
        <x:f aca="0">IF(AND(U$3&gt;=$F31,U$3&lt;=$G31),1,"")</x:f>
      </x:c>
      <x:c r="V31" s="78" t="str">
        <x:v>scripts/bench/medir_hibrido.py</x:v>
      </x:c>
      <x:c r="W31" s="78" t="str">
        <x:v>CSV y gráfico para 2/4/8/16 recursos CPU totales (procesos × hilos).</x:v>
      </x:c>
      <x:c r="X31" s="78" t="str">
        <x:v>Híbrido T24; script T26; T1 T14; scripts/bench/medir_hibrido.py.</x:v>
      </x:c>
      <x:c r="Y31" s="78" t="str">
        <x:v>Elegir al menos una factorización p×t para 2/4/8/16 recursos CPU totales; fijar N y semilla; medir cinco repeticiones; registrar si hay sobresuscripción; calcular speedup.</x:v>
      </x:c>
      <x:c r="Z31" s="78" t="str">
        <x:v>results/bench/hibrido.csv y PNG/SVG con p, t, recursos totales, cinco tiempos, T1 y hardware.</x:v>
      </x:c>
    </x:row>
    <x:row r="32" ht="95" hidden="0" customHeight="1">
      <x:c r="A32" s="49" t="s">
        <x:v>128</x:v>
      </x:c>
      <x:c r="B32" s="49" t="s">
        <x:v>36</x:v>
      </x:c>
      <x:c r="C32" s="50" t="str">
        <x:v>Redactar secciones 1–4 del informe con alcance y método vigentes</x:v>
      </x:c>
      <x:c r="D32" s="49" t="str">
        <x:v>R6</x:v>
      </x:c>
      <x:c r="E32" s="49" t="s">
        <x:v>28</x:v>
      </x:c>
      <x:c r="F32" s="49" t="n">
        <x:v>10</x:v>
      </x:c>
      <x:c r="G32" s="49" t="n">
        <x:v>10</x:v>
      </x:c>
      <x:c r="H32" s="51" t="n">
        <x:f aca="0">DATE(2026,8,24)+(G32-1)*7+4-1+TIME(23,59,0)-48/24</x:f>
        <x:v>46322.99930555555</x:v>
      </x:c>
      <x:c r="I32" s="50" t="str">
        <x:v>Borrador en reports/ con problema, objetivos, modelo y entorno; fuentes citadas.</x:v>
      </x:c>
      <x:c r="J32" s="52" t="s">
        <x:v>119</x:v>
      </x:c>
      <x:c r="K32" s="53" t="n">
        <x:v>0</x:v>
      </x:c>
      <x:c r="L32" s="54" t="str">
        <x:f aca="0">IF(AND(L$3&gt;=$F32,L$3&lt;=$G32),1,"")</x:f>
      </x:c>
      <x:c r="M32" s="54" t="str">
        <x:f aca="0">IF(AND(M$3&gt;=$F32,M$3&lt;=$G32),1,"")</x:f>
      </x:c>
      <x:c r="N32" s="54" t="str">
        <x:f aca="0">IF(AND(N$3&gt;=$F32,N$3&lt;=$G32),1,"")</x:f>
      </x:c>
      <x:c r="O32" s="54" t="str">
        <x:f aca="0">IF(AND(O$3&gt;=$F32,O$3&lt;=$G32),1,"")</x:f>
      </x:c>
      <x:c r="P32" s="54" t="n">
        <x:f aca="0">IF(AND(P$3&gt;=$F32,P$3&lt;=$G32),1,"")</x:f>
        <x:v>1</x:v>
      </x:c>
      <x:c r="Q32" s="54" t="str">
        <x:f aca="0">IF(AND(Q$3&gt;=$F32,Q$3&lt;=$G32),1,"")</x:f>
      </x:c>
      <x:c r="R32" s="54" t="str">
        <x:f aca="0">IF(AND(R$3&gt;=$F32,R$3&lt;=$G32),1,"")</x:f>
      </x:c>
      <x:c r="S32" s="54" t="str">
        <x:f aca="0">IF(AND(S$3&gt;=$F32,S$3&lt;=$G32),1,"")</x:f>
      </x:c>
      <x:c r="T32" s="54" t="str">
        <x:f aca="0">IF(AND(T$3&gt;=$F32,T$3&lt;=$G32),1,"")</x:f>
      </x:c>
      <x:c r="U32" s="54" t="str">
        <x:f aca="0">IF(AND(U$3&gt;=$F32,U$3&lt;=$G32),1,"")</x:f>
      </x:c>
      <x:c r="V32" s="78" t="str">
        <x:v>—</x:v>
      </x:c>
      <x:c r="W32" s="78" t="str">
        <x:v>Borrador del informe en MD: secciones 1–4 y referencias.</x:v>
      </x:c>
      <x:c r="X32" s="78" t="str">
        <x:v>Definición; metodología T02–T27; referencias verificadas.</x:v>
      </x:c>
      <x:c r="Y32" s="78" t="str">
        <x:v>Redactar problema, objetivos, modelo y entorno; describir datos, parámetros, semilla, validación y variantes; separar resultados aún pendientes de hechos medidos.</x:v>
      </x:c>
      <x:c r="Z32" s="78" t="str">
        <x:v>reports/borrador-secciones-1-4.md con citas y trazas a tareas/CSV existentes.</x:v>
      </x:c>
    </x:row>
    <x:row r="33" ht="95" hidden="0" customHeight="1">
      <x:c r="A33" s="49" t="s">
        <x:v>129</x:v>
      </x:c>
      <x:c r="B33" s="49" t="s">
        <x:v>36</x:v>
      </x:c>
      <x:c r="C33" s="50" t="str">
        <x:v>Registrar decisión interna de CUDA tras revisar E1–E5</x:v>
      </x:c>
      <x:c r="D33" s="49" t="str">
        <x:v>R1</x:v>
      </x:c>
      <x:c r="E33" s="49" t="s">
        <x:v>74</x:v>
      </x:c>
      <x:c r="F33" s="49" t="n">
        <x:v>10</x:v>
      </x:c>
      <x:c r="G33" s="49" t="n">
        <x:v>10</x:v>
      </x:c>
      <x:c r="H33" s="51" t="n">
        <x:f aca="0">Entregables!E9+TIME(23,59,0)</x:f>
        <x:v>46324.99930555555</x:v>
      </x:c>
      <x:c r="I33" s="50" t="str">
        <x:v>Acta en Seguimiento indica go/no-go, evidencias, GPU disponible y tareas EXT activadas.</x:v>
      </x:c>
      <x:c r="J33" s="52" t="s">
        <x:v>119</x:v>
      </x:c>
      <x:c r="K33" s="53" t="n">
        <x:v>0</x:v>
      </x:c>
      <x:c r="L33" s="54" t="str">
        <x:f aca="0">IF(AND(L$3&gt;=$F33,L$3&lt;=$G33),1,"")</x:f>
      </x:c>
      <x:c r="M33" s="54" t="str">
        <x:f aca="0">IF(AND(M$3&gt;=$F33,M$3&lt;=$G33),1,"")</x:f>
      </x:c>
      <x:c r="N33" s="54" t="str">
        <x:f aca="0">IF(AND(N$3&gt;=$F33,N$3&lt;=$G33),1,"")</x:f>
      </x:c>
      <x:c r="O33" s="54" t="str">
        <x:f aca="0">IF(AND(O$3&gt;=$F33,O$3&lt;=$G33),1,"")</x:f>
      </x:c>
      <x:c r="P33" s="54" t="n">
        <x:f aca="0">IF(AND(P$3&gt;=$F33,P$3&lt;=$G33),1,"")</x:f>
        <x:v>1</x:v>
      </x:c>
      <x:c r="Q33" s="54" t="str">
        <x:f aca="0">IF(AND(Q$3&gt;=$F33,Q$3&lt;=$G33),1,"")</x:f>
      </x:c>
      <x:c r="R33" s="54" t="str">
        <x:f aca="0">IF(AND(R$3&gt;=$F33,R$3&lt;=$G33),1,"")</x:f>
      </x:c>
      <x:c r="S33" s="54" t="str">
        <x:f aca="0">IF(AND(S$3&gt;=$F33,S$3&lt;=$G33),1,"")</x:f>
      </x:c>
      <x:c r="T33" s="54" t="str">
        <x:f aca="0">IF(AND(T$3&gt;=$F33,T$3&lt;=$G33),1,"")</x:f>
      </x:c>
      <x:c r="U33" s="54" t="str">
        <x:f aca="0">IF(AND(U$3&gt;=$F33,U$3&lt;=$G33),1,"")</x:f>
      </x:c>
      <x:c r="V33" s="78" t="str">
        <x:v>—</x:v>
      </x:c>
      <x:c r="W33" s="78" t="str">
        <x:v>Acta de decisión CUDA en MD con criterio go/no-go y evidencias.</x:v>
      </x:c>
      <x:c r="X33" s="78" t="str">
        <x:v>Inventario T23; resultados E1–E5; criterios de tiempo y disponibilidad CUDA.</x:v>
      </x:c>
      <x:c r="Y33" s="78" t="str">
        <x:v>Comparar GPU disponible, tiempo restante, coste de implementación y pruebas; decidir activar o no EXT1 y EXT2; registrar justificación y responsables sin solicitar ayuda externa.</x:v>
      </x:c>
      <x:c r="Z33" s="78" t="str">
        <x:v>docs/decision-cuda.md con fecha, evidencia, go/no-go y tareas T38–T41 activadas o descartadas.</x:v>
      </x:c>
    </x:row>
    <x:row r="34" ht="95" hidden="0" customHeight="1">
      <x:c r="A34" s="49" t="s">
        <x:v>130</x:v>
      </x:c>
      <x:c r="B34" s="49" t="s">
        <x:v>41</x:v>
      </x:c>
      <x:c r="C34" s="50" t="str">
        <x:v>Ejecutar X1 fuerte con 2/4/8/16 recursos por backend CPU</x:v>
      </x:c>
      <x:c r="D34" s="49" t="str">
        <x:v>R5</x:v>
      </x:c>
      <x:c r="E34" s="49" t="s">
        <x:v>63</x:v>
      </x:c>
      <x:c r="F34" s="49" t="n">
        <x:v>11</x:v>
      </x:c>
      <x:c r="G34" s="49" t="n">
        <x:v>11</x:v>
      </x:c>
      <x:c r="H34" s="51" t="n">
        <x:f aca="0">DATE(2026,8,24)+(G34-1)*7+4-1+TIME(23,59,0)-48/24</x:f>
        <x:v>46329.99930555555</x:v>
      </x:c>
      <x:c r="I34" s="50" t="str">
        <x:v>CSV por OpenMP/MPI/híbrido, N=2×10⁸ fijo, calentamiento y cinco tiempos por punto.</x:v>
      </x:c>
      <x:c r="J34" s="52" t="s">
        <x:v>119</x:v>
      </x:c>
      <x:c r="K34" s="53" t="n">
        <x:v>0</x:v>
      </x:c>
      <x:c r="L34" s="54" t="str">
        <x:f aca="0">IF(AND(L$3&gt;=$F34,L$3&lt;=$G34),1,"")</x:f>
      </x:c>
      <x:c r="M34" s="54" t="str">
        <x:f aca="0">IF(AND(M$3&gt;=$F34,M$3&lt;=$G34),1,"")</x:f>
      </x:c>
      <x:c r="N34" s="54" t="str">
        <x:f aca="0">IF(AND(N$3&gt;=$F34,N$3&lt;=$G34),1,"")</x:f>
      </x:c>
      <x:c r="O34" s="54" t="str">
        <x:f aca="0">IF(AND(O$3&gt;=$F34,O$3&lt;=$G34),1,"")</x:f>
      </x:c>
      <x:c r="P34" s="54" t="str">
        <x:f aca="0">IF(AND(P$3&gt;=$F34,P$3&lt;=$G34),1,"")</x:f>
      </x:c>
      <x:c r="Q34" s="54" t="n">
        <x:f aca="0">IF(AND(Q$3&gt;=$F34,Q$3&lt;=$G34),1,"")</x:f>
        <x:v>1</x:v>
      </x:c>
      <x:c r="R34" s="54" t="str">
        <x:f aca="0">IF(AND(R$3&gt;=$F34,R$3&lt;=$G34),1,"")</x:f>
      </x:c>
      <x:c r="S34" s="54" t="str">
        <x:f aca="0">IF(AND(S$3&gt;=$F34,S$3&lt;=$G34),1,"")</x:f>
      </x:c>
      <x:c r="T34" s="54" t="str">
        <x:f aca="0">IF(AND(T$3&gt;=$F34,T$3&lt;=$G34),1,"")</x:f>
      </x:c>
      <x:c r="U34" s="54" t="str">
        <x:f aca="0">IF(AND(U$3&gt;=$F34,U$3&lt;=$G34),1,"")</x:f>
      </x:c>
      <x:c r="V34" s="78" t="str">
        <x:v>scripts/bench/ejecutar_barridos.py</x:v>
      </x:c>
      <x:c r="W34" s="78" t="str">
        <x:v>CSV X1 fuerte: 2/4/8/16 recursos CPU, N fijo y cinco tiempos.</x:v>
      </x:c>
      <x:c r="X34" s="78" t="str">
        <x:v>Script T26; backends OpenMP, MPI e híbrido validados; N=2×10^8.</x:v>
      </x:c>
      <x:c r="Y34" s="78" t="str">
        <x:v>Usar igual N/semilla, compilación y equipo; medir 2/4/8/16 recursos CPU por backend con calentamiento y cinco repeticiones; anotar topología y sobresuscripción.</x:v>
      </x:c>
      <x:c r="Z34" s="78" t="str">
        <x:v>results/bench/x1_fuerte.csv con backend, recursos, p×t, cinco tiempos, hardware y commit.</x:v>
      </x:c>
    </x:row>
    <x:row r="35" ht="95" hidden="0" customHeight="1">
      <x:c r="A35" s="49" t="s">
        <x:v>131</x:v>
      </x:c>
      <x:c r="B35" s="49" t="s">
        <x:v>41</x:v>
      </x:c>
      <x:c r="C35" s="50" t="str">
        <x:v>Ejecutar X2 débil y X3 con cargas 10⁶/10⁷/10⁸/10⁹</x:v>
      </x:c>
      <x:c r="D35" s="49" t="str">
        <x:v>R5</x:v>
      </x:c>
      <x:c r="E35" s="49" t="s">
        <x:v>21</x:v>
      </x:c>
      <x:c r="F35" s="49" t="n">
        <x:v>11</x:v>
      </x:c>
      <x:c r="G35" s="49" t="n">
        <x:v>11</x:v>
      </x:c>
      <x:c r="H35" s="51" t="n">
        <x:f aca="0">DATE(2026,8,24)+(G35-1)*7+4-1+TIME(23,59,0)-48/24</x:f>
        <x:v>46329.99930555555</x:v>
      </x:c>
      <x:c r="I35" s="50" t="str">
        <x:v>CSV con N por recurso, número de recursos, cinco tiempos salvo corrida secuencial extrema indicada.</x:v>
      </x:c>
      <x:c r="J35" s="52" t="s">
        <x:v>119</x:v>
      </x:c>
      <x:c r="K35" s="53" t="n">
        <x:v>0</x:v>
      </x:c>
      <x:c r="L35" s="54" t="str">
        <x:f aca="0">IF(AND(L$3&gt;=$F35,L$3&lt;=$G35),1,"")</x:f>
      </x:c>
      <x:c r="M35" s="54" t="str">
        <x:f aca="0">IF(AND(M$3&gt;=$F35,M$3&lt;=$G35),1,"")</x:f>
      </x:c>
      <x:c r="N35" s="54" t="str">
        <x:f aca="0">IF(AND(N$3&gt;=$F35,N$3&lt;=$G35),1,"")</x:f>
      </x:c>
      <x:c r="O35" s="54" t="str">
        <x:f aca="0">IF(AND(O$3&gt;=$F35,O$3&lt;=$G35),1,"")</x:f>
      </x:c>
      <x:c r="P35" s="54" t="str">
        <x:f aca="0">IF(AND(P$3&gt;=$F35,P$3&lt;=$G35),1,"")</x:f>
      </x:c>
      <x:c r="Q35" s="54" t="n">
        <x:f aca="0">IF(AND(Q$3&gt;=$F35,Q$3&lt;=$G35),1,"")</x:f>
        <x:v>1</x:v>
      </x:c>
      <x:c r="R35" s="54" t="str">
        <x:f aca="0">IF(AND(R$3&gt;=$F35,R$3&lt;=$G35),1,"")</x:f>
      </x:c>
      <x:c r="S35" s="54" t="str">
        <x:f aca="0">IF(AND(S$3&gt;=$F35,S$3&lt;=$G35),1,"")</x:f>
      </x:c>
      <x:c r="T35" s="54" t="str">
        <x:f aca="0">IF(AND(T$3&gt;=$F35,T$3&lt;=$G35),1,"")</x:f>
      </x:c>
      <x:c r="U35" s="54" t="str">
        <x:f aca="0">IF(AND(U$3&gt;=$F35,U$3&lt;=$G35),1,"")</x:f>
      </x:c>
      <x:c r="V35" s="78" t="str">
        <x:v>scripts/bench/ejecutar_barridos.py</x:v>
      </x:c>
      <x:c r="W35" s="78" t="str">
        <x:v>CSV X2 débil y X3 de carga; N, recursos y tiempos por punto.</x:v>
      </x:c>
      <x:c r="X35" s="78" t="str">
        <x:v>Script T26; backends validados; referencia N por recurso para X2.</x:v>
      </x:c>
      <x:c r="Y35" s="78" t="str">
        <x:v>X2: escalar N con 2/4/8/16 recursos manteniendo N/recurso; X3: probar N=10^6,10^7,10^8,10^9; repetir cinco veces cada punto salvo excepción documentada.</x:v>
      </x:c>
      <x:c r="Z35" s="78" t="str">
        <x:v>results/bench/x2_debil.csv y x3_cargas.csv con N, recursos, semilla, tiempos y motivo de excepción.</x:v>
      </x:c>
    </x:row>
    <x:row r="36" ht="95" hidden="0" customHeight="1">
      <x:c r="A36" s="49" t="s">
        <x:v>132</x:v>
      </x:c>
      <x:c r="B36" s="49" t="s">
        <x:v>41</x:v>
      </x:c>
      <x:c r="C36" s="50" t="str">
        <x:v>Comparar MPI E1/E2 en CPU heterogéneas con 2/4/8/16 procesos</x:v>
      </x:c>
      <x:c r="D36" s="49" t="str">
        <x:v>R4</x:v>
      </x:c>
      <x:c r="E36" s="49" t="s">
        <x:v>32</x:v>
      </x:c>
      <x:c r="F36" s="49" t="n">
        <x:v>11</x:v>
      </x:c>
      <x:c r="G36" s="49" t="n">
        <x:v>11</x:v>
      </x:c>
      <x:c r="H36" s="51" t="n">
        <x:f aca="0">DATE(2026,8,24)+(G36-1)*7+4-1+TIME(23,59,0)-48/24</x:f>
        <x:v>46329.99930555555</x:v>
      </x:c>
      <x:c r="I36" s="50" t="str">
        <x:v>CSV de igual N y asignación de procesos; tiempo, balance y coste de mensajes calculados.</x:v>
      </x:c>
      <x:c r="J36" s="52" t="s">
        <x:v>119</x:v>
      </x:c>
      <x:c r="K36" s="53" t="n">
        <x:v>0</x:v>
      </x:c>
      <x:c r="L36" s="54" t="str">
        <x:f aca="0">IF(AND(L$3&gt;=$F36,L$3&lt;=$G36),1,"")</x:f>
      </x:c>
      <x:c r="M36" s="54" t="str">
        <x:f aca="0">IF(AND(M$3&gt;=$F36,M$3&lt;=$G36),1,"")</x:f>
      </x:c>
      <x:c r="N36" s="54" t="str">
        <x:f aca="0">IF(AND(N$3&gt;=$F36,N$3&lt;=$G36),1,"")</x:f>
      </x:c>
      <x:c r="O36" s="54" t="str">
        <x:f aca="0">IF(AND(O$3&gt;=$F36,O$3&lt;=$G36),1,"")</x:f>
      </x:c>
      <x:c r="P36" s="54" t="str">
        <x:f aca="0">IF(AND(P$3&gt;=$F36,P$3&lt;=$G36),1,"")</x:f>
      </x:c>
      <x:c r="Q36" s="54" t="n">
        <x:f aca="0">IF(AND(Q$3&gt;=$F36,Q$3&lt;=$G36),1,"")</x:f>
        <x:v>1</x:v>
      </x:c>
      <x:c r="R36" s="54" t="str">
        <x:f aca="0">IF(AND(R$3&gt;=$F36,R$3&lt;=$G36),1,"")</x:f>
      </x:c>
      <x:c r="S36" s="54" t="str">
        <x:f aca="0">IF(AND(S$3&gt;=$F36,S$3&lt;=$G36),1,"")</x:f>
      </x:c>
      <x:c r="T36" s="54" t="str">
        <x:f aca="0">IF(AND(T$3&gt;=$F36,T$3&lt;=$G36),1,"")</x:f>
      </x:c>
      <x:c r="U36" s="54" t="str">
        <x:f aca="0">IF(AND(U$3&gt;=$F36,U$3&lt;=$G36),1,"")</x:f>
      </x:c>
      <x:c r="V36" s="78" t="str">
        <x:v>scripts/bench/comparar_mpi_heterogeneo.py</x:v>
      </x:c>
      <x:c r="W36" s="78" t="str">
        <x:v>CSV E1/E2 en nodos heterogéneos: distribución, balance y tiempos.</x:v>
      </x:c>
      <x:c r="X36" s="78" t="str">
        <x:v>E1 T19, E2 T20; nodos heterogéneos T25; medir_mpi T21.</x:v>
      </x:c>
      <x:c r="Y36" s="78" t="str">
        <x:v>Fijar N/semilla; medir 2/4/8/16 procesos en distribución de nodos documentada; registrar escenarios por rank, tiempo de cómputo/espera y mensajes; comparar balance E1/E2.</x:v>
      </x:c>
      <x:c r="Z36" s="78" t="str">
        <x:v>results/bench/mpi_heterogeneo.csv y resumen de desbalance y coste de comunicación con mapa rank–nodo.</x:v>
      </x:c>
    </x:row>
    <x:row r="37" ht="95" hidden="0" customHeight="1">
      <x:c r="A37" s="49" t="s">
        <x:v>133</x:v>
      </x:c>
      <x:c r="B37" s="49" t="s">
        <x:v>41</x:v>
      </x:c>
      <x:c r="C37" s="50" t="str">
        <x:v>Calcular tiempo, speedup, eficiencia, throughput y Karp–Flatt de X1–X4</x:v>
      </x:c>
      <x:c r="D37" s="49" t="str">
        <x:v>R6</x:v>
      </x:c>
      <x:c r="E37" s="49" t="s">
        <x:v>28</x:v>
      </x:c>
      <x:c r="F37" s="49" t="n">
        <x:v>11</x:v>
      </x:c>
      <x:c r="G37" s="49" t="n">
        <x:v>11</x:v>
      </x:c>
      <x:c r="H37" s="51" t="n">
        <x:f aca="0">DATE(2026,8,24)+(G37-1)*7+4-1+TIME(23,59,0)-48/24</x:f>
        <x:v>46329.99930555555</x:v>
      </x:c>
      <x:c r="I37" s="50" t="str">
        <x:v>Tablas y figuras con media, desviación, base T1 y límites del hardware identificados.</x:v>
      </x:c>
      <x:c r="J37" s="52" t="s">
        <x:v>119</x:v>
      </x:c>
      <x:c r="K37" s="53" t="n">
        <x:v>0</x:v>
      </x:c>
      <x:c r="L37" s="54" t="str">
        <x:f aca="0">IF(AND(L$3&gt;=$F37,L$3&lt;=$G37),1,"")</x:f>
      </x:c>
      <x:c r="M37" s="54" t="str">
        <x:f aca="0">IF(AND(M$3&gt;=$F37,M$3&lt;=$G37),1,"")</x:f>
      </x:c>
      <x:c r="N37" s="54" t="str">
        <x:f aca="0">IF(AND(N$3&gt;=$F37,N$3&lt;=$G37),1,"")</x:f>
      </x:c>
      <x:c r="O37" s="54" t="str">
        <x:f aca="0">IF(AND(O$3&gt;=$F37,O$3&lt;=$G37),1,"")</x:f>
      </x:c>
      <x:c r="P37" s="54" t="str">
        <x:f aca="0">IF(AND(P$3&gt;=$F37,P$3&lt;=$G37),1,"")</x:f>
      </x:c>
      <x:c r="Q37" s="54" t="n">
        <x:f aca="0">IF(AND(Q$3&gt;=$F37,Q$3&lt;=$G37),1,"")</x:f>
        <x:v>1</x:v>
      </x:c>
      <x:c r="R37" s="54" t="str">
        <x:f aca="0">IF(AND(R$3&gt;=$F37,R$3&lt;=$G37),1,"")</x:f>
      </x:c>
      <x:c r="S37" s="54" t="str">
        <x:f aca="0">IF(AND(S$3&gt;=$F37,S$3&lt;=$G37),1,"")</x:f>
      </x:c>
      <x:c r="T37" s="54" t="str">
        <x:f aca="0">IF(AND(T$3&gt;=$F37,T$3&lt;=$G37),1,"")</x:f>
      </x:c>
      <x:c r="U37" s="54" t="str">
        <x:f aca="0">IF(AND(U$3&gt;=$F37,U$3&lt;=$G37),1,"")</x:f>
      </x:c>
      <x:c r="V37" s="78" t="str">
        <x:v>scripts/bench/analizar-rendimiento.py</x:v>
      </x:c>
      <x:c r="W37" s="78" t="str">
        <x:v>CSV agregado y figuras PNG/SVG: speedup, eficiencia, throughput y Karp–Flatt.</x:v>
      </x:c>
      <x:c r="X37" s="78" t="str">
        <x:v>CSV T14,T16,T21,T27,T30–T32; fórmulas de métricas acordadas.</x:v>
      </x:c>
      <x:c r="Y37" s="78" t="str">
        <x:v>Validar esquema/semilla y cinco muestras; calcular media, desviación, speedup=T1/Tp, eficiencia=S/p, throughput=N/t y Karp–Flatt; separar comparaciones con hardware distinto.</x:v>
      </x:c>
      <x:c r="Z37" s="78" t="str">
        <x:v>results/analysis/rendimiento.csv y PNG/SVG X1–X4 con fórmulas, T1 y advertencias de sobresuscripción.</x:v>
      </x:c>
    </x:row>
    <x:row r="38" ht="95" hidden="0" customHeight="1">
      <x:c r="A38" s="49" t="s">
        <x:v>134</x:v>
      </x:c>
      <x:c r="B38" s="49" t="s">
        <x:v>45</x:v>
      </x:c>
      <x:c r="C38" s="50" t="str">
        <x:v>Ejecutar X6 CPU con 1,3×10¹⁰ escenarios y respaldar resultados</x:v>
      </x:c>
      <x:c r="D38" s="49" t="str">
        <x:v>R5</x:v>
      </x:c>
      <x:c r="E38" s="49" t="s">
        <x:v>28</x:v>
      </x:c>
      <x:c r="F38" s="49" t="n">
        <x:v>12</x:v>
      </x:c>
      <x:c r="G38" s="49" t="n">
        <x:v>12</x:v>
      </x:c>
      <x:c r="H38" s="51" t="n">
        <x:f aca="0">DATE(2026,8,24)+(G38-1)*7+4-1+TIME(23,59,0)-48/24</x:f>
        <x:v>46336.99930555555</x:v>
      </x:c>
      <x:c r="I38" s="50" t="str">
        <x:v>CSV contabiliza N por configuración y total; logs y copia íntegra en dos equipos.</x:v>
      </x:c>
      <x:c r="J38" s="52" t="s">
        <x:v>119</x:v>
      </x:c>
      <x:c r="K38" s="53" t="n">
        <x:v>0</x:v>
      </x:c>
      <x:c r="L38" s="54" t="str">
        <x:f aca="0">IF(AND(L$3&gt;=$F38,L$3&lt;=$G38),1,"")</x:f>
      </x:c>
      <x:c r="M38" s="54" t="str">
        <x:f aca="0">IF(AND(M$3&gt;=$F38,M$3&lt;=$G38),1,"")</x:f>
      </x:c>
      <x:c r="N38" s="54" t="str">
        <x:f aca="0">IF(AND(N$3&gt;=$F38,N$3&lt;=$G38),1,"")</x:f>
      </x:c>
      <x:c r="O38" s="54" t="str">
        <x:f aca="0">IF(AND(O$3&gt;=$F38,O$3&lt;=$G38),1,"")</x:f>
      </x:c>
      <x:c r="P38" s="54" t="str">
        <x:f aca="0">IF(AND(P$3&gt;=$F38,P$3&lt;=$G38),1,"")</x:f>
      </x:c>
      <x:c r="Q38" s="54" t="str">
        <x:f aca="0">IF(AND(Q$3&gt;=$F38,Q$3&lt;=$G38),1,"")</x:f>
      </x:c>
      <x:c r="R38" s="54" t="n">
        <x:f aca="0">IF(AND(R$3&gt;=$F38,R$3&lt;=$G38),1,"")</x:f>
        <x:v>1</x:v>
      </x:c>
      <x:c r="S38" s="54" t="str">
        <x:f aca="0">IF(AND(S$3&gt;=$F38,S$3&lt;=$G38),1,"")</x:f>
      </x:c>
      <x:c r="T38" s="54" t="str">
        <x:f aca="0">IF(AND(T$3&gt;=$F38,T$3&lt;=$G38),1,"")</x:f>
      </x:c>
      <x:c r="U38" s="54" t="str">
        <x:f aca="0">IF(AND(U$3&gt;=$F38,U$3&lt;=$G38),1,"")</x:f>
      </x:c>
      <x:c r="V38" s="78" t="str">
        <x:v>scripts/run/corrida-oficial.py</x:v>
      </x:c>
      <x:c r="W38" s="78" t="str">
        <x:v>CSV X6 con 1,3×10¹⁰ escenarios, logs y respaldo íntegro.</x:v>
      </x:c>
      <x:c r="X38" s="78" t="str">
        <x:v>Parámetros T10; backend CPU validado; scripts/run/corrida-oficial.py; espacio de almacenamiento.</x:v>
      </x:c>
      <x:c r="Y38" s="78" t="str">
        <x:v>Particionar 1.3×10^10 escenarios en lotes con rangos no solapados; registrar semilla/commit/configuración; ejecutar y validar suma de N y checksum; copiar resultados a dos equipos.</x:v>
      </x:c>
      <x:c r="Z38" s="78" t="str">
        <x:v>results/official/x6.csv, manifiesto de lotes y logs con N total, checksums y dos ubicaciones de respaldo.</x:v>
      </x:c>
    </x:row>
    <x:row r="39" ht="95" hidden="0" customHeight="1">
      <x:c r="A39" s="49" t="s">
        <x:v>135</x:v>
      </x:c>
      <x:c r="B39" s="49" t="s">
        <x:v>45</x:v>
      </x:c>
      <x:c r="C39" s="50" t="str">
        <x:v>Calcular riesgo, IC Wilson, banda bootstrap y curva riesgo–capacidad</x:v>
      </x:c>
      <x:c r="D39" s="49" t="str">
        <x:v>R2</x:v>
      </x:c>
      <x:c r="E39" s="49" t="s">
        <x:v>63</x:v>
      </x:c>
      <x:c r="F39" s="49" t="n">
        <x:v>12</x:v>
      </x:c>
      <x:c r="G39" s="49" t="n">
        <x:v>12</x:v>
      </x:c>
      <x:c r="H39" s="51" t="n">
        <x:f aca="0">DATE(2026,8,24)+(G39-1)*7+4-1+TIME(23,59,0)-48/24</x:f>
        <x:v>46336.99930555555</x:v>
      </x:c>
      <x:c r="I39" s="50" t="str">
        <x:v>Script reproduce tablas y curvas por zona/régimen/capacidad desde CSV X6.</x:v>
      </x:c>
      <x:c r="J39" s="52" t="s">
        <x:v>119</x:v>
      </x:c>
      <x:c r="K39" s="53" t="n">
        <x:v>0</x:v>
      </x:c>
      <x:c r="L39" s="54" t="str">
        <x:f aca="0">IF(AND(L$3&gt;=$F39,L$3&lt;=$G39),1,"")</x:f>
      </x:c>
      <x:c r="M39" s="54" t="str">
        <x:f aca="0">IF(AND(M$3&gt;=$F39,M$3&lt;=$G39),1,"")</x:f>
      </x:c>
      <x:c r="N39" s="54" t="str">
        <x:f aca="0">IF(AND(N$3&gt;=$F39,N$3&lt;=$G39),1,"")</x:f>
      </x:c>
      <x:c r="O39" s="54" t="str">
        <x:f aca="0">IF(AND(O$3&gt;=$F39,O$3&lt;=$G39),1,"")</x:f>
      </x:c>
      <x:c r="P39" s="54" t="str">
        <x:f aca="0">IF(AND(P$3&gt;=$F39,P$3&lt;=$G39),1,"")</x:f>
      </x:c>
      <x:c r="Q39" s="54" t="str">
        <x:f aca="0">IF(AND(Q$3&gt;=$F39,Q$3&lt;=$G39),1,"")</x:f>
      </x:c>
      <x:c r="R39" s="54" t="n">
        <x:f aca="0">IF(AND(R$3&gt;=$F39,R$3&lt;=$G39),1,"")</x:f>
        <x:v>1</x:v>
      </x:c>
      <x:c r="S39" s="54" t="str">
        <x:f aca="0">IF(AND(S$3&gt;=$F39,S$3&lt;=$G39),1,"")</x:f>
      </x:c>
      <x:c r="T39" s="54" t="str">
        <x:f aca="0">IF(AND(T$3&gt;=$F39,T$3&lt;=$G39),1,"")</x:f>
      </x:c>
      <x:c r="U39" s="54" t="str">
        <x:f aca="0">IF(AND(U$3&gt;=$F39,U$3&lt;=$G39),1,"")</x:f>
      </x:c>
      <x:c r="V39" s="78" t="str">
        <x:v>scripts/run/analizar-riesgo.py</x:v>
      </x:c>
      <x:c r="W39" s="78" t="str">
        <x:v>CSV y PNG/SVG de riesgo, IC Wilson, banda bootstrap y capacidad.</x:v>
      </x:c>
      <x:c r="X39" s="78" t="str">
        <x:v>CSV X6 T34; bootstrap T10; scripts/run/analizar-riesgo.py.</x:v>
      </x:c>
      <x:c r="Y39" s="78" t="str">
        <x:v>Agregar k/N por zona/régimen/capacidad; calcular Wilson y banda de 100 parámetros bootstrap; producir curva riesgo–capacidad y verificar monotonía/interpretación.</x:v>
      </x:c>
      <x:c r="Z39" s="78" t="str">
        <x:v>results/analysis/riesgo.csv y PNG/SVG con N, IC, banda, eje de capacidad y referencia a CSV X6.</x:v>
      </x:c>
    </x:row>
    <x:row r="40" ht="95" hidden="0" customHeight="1">
      <x:c r="A40" s="49" t="s">
        <x:v>136</x:v>
      </x:c>
      <x:c r="B40" s="49" t="s">
        <x:v>45</x:v>
      </x:c>
      <x:c r="C40" s="50" t="str">
        <x:v>Redactar resultados científicos a partir de tablas X6</x:v>
      </x:c>
      <x:c r="D40" s="49" t="str">
        <x:v>R6</x:v>
      </x:c>
      <x:c r="E40" s="49" t="s">
        <x:v>28</x:v>
      </x:c>
      <x:c r="F40" s="49" t="n">
        <x:v>12</x:v>
      </x:c>
      <x:c r="G40" s="49" t="n">
        <x:v>12</x:v>
      </x:c>
      <x:c r="H40" s="51" t="n">
        <x:f aca="0">DATE(2026,8,24)+(G40-1)*7+4-1+TIME(23,59,0)-48/24</x:f>
        <x:v>46336.99930555555</x:v>
      </x:c>
      <x:c r="I40" s="50" t="str">
        <x:v>Sección con N, parámetros, IC, banda epistémica, figuras y limitaciones.</x:v>
      </x:c>
      <x:c r="J40" s="52" t="s">
        <x:v>119</x:v>
      </x:c>
      <x:c r="K40" s="53" t="n">
        <x:v>0</x:v>
      </x:c>
      <x:c r="L40" s="54" t="str">
        <x:f aca="0">IF(AND(L$3&gt;=$F40,L$3&lt;=$G40),1,"")</x:f>
      </x:c>
      <x:c r="M40" s="54" t="str">
        <x:f aca="0">IF(AND(M$3&gt;=$F40,M$3&lt;=$G40),1,"")</x:f>
      </x:c>
      <x:c r="N40" s="54" t="str">
        <x:f aca="0">IF(AND(N$3&gt;=$F40,N$3&lt;=$G40),1,"")</x:f>
      </x:c>
      <x:c r="O40" s="54" t="str">
        <x:f aca="0">IF(AND(O$3&gt;=$F40,O$3&lt;=$G40),1,"")</x:f>
      </x:c>
      <x:c r="P40" s="54" t="str">
        <x:f aca="0">IF(AND(P$3&gt;=$F40,P$3&lt;=$G40),1,"")</x:f>
      </x:c>
      <x:c r="Q40" s="54" t="str">
        <x:f aca="0">IF(AND(Q$3&gt;=$F40,Q$3&lt;=$G40),1,"")</x:f>
      </x:c>
      <x:c r="R40" s="54" t="n">
        <x:f aca="0">IF(AND(R$3&gt;=$F40,R$3&lt;=$G40),1,"")</x:f>
        <x:v>1</x:v>
      </x:c>
      <x:c r="S40" s="54" t="str">
        <x:f aca="0">IF(AND(S$3&gt;=$F40,S$3&lt;=$G40),1,"")</x:f>
      </x:c>
      <x:c r="T40" s="54" t="str">
        <x:f aca="0">IF(AND(T$3&gt;=$F40,T$3&lt;=$G40),1,"")</x:f>
      </x:c>
      <x:c r="U40" s="54" t="str">
        <x:f aca="0">IF(AND(U$3&gt;=$F40,U$3&lt;=$G40),1,"")</x:f>
      </x:c>
      <x:c r="V40" s="78" t="str">
        <x:v>—</x:v>
      </x:c>
      <x:c r="W40" s="78" t="str">
        <x:v>Sección de resultados científicos del informe en MD, con fuente CSV.</x:v>
      </x:c>
      <x:c r="X40" s="78" t="str">
        <x:v>Resultados T34–T35; metodología T28; tablas/figuras trazables.</x:v>
      </x:c>
      <x:c r="Y40" s="78" t="str">
        <x:v>Redactar resultados por zona/régimen/capacidad con N, k, IC y banda; interpretar sin extrapolar fuera de datos; incluir limitaciones y rutas a CSV.</x:v>
      </x:c>
      <x:c r="Z40" s="78" t="str">
        <x:v>reports/resultados-cientificos.md con tablas y pies de figura que citan archivos de origen.</x:v>
      </x:c>
    </x:row>
    <x:row r="41" ht="95" hidden="0" customHeight="1">
      <x:c r="A41" s="49" t="s">
        <x:v>137</x:v>
      </x:c>
      <x:c r="B41" s="49" t="s">
        <x:v>45</x:v>
      </x:c>
      <x:c r="C41" s="50" t="str">
        <x:v>Documentar procesos MPI, hilos OpenMP, reducción y afinidad</x:v>
      </x:c>
      <x:c r="D41" s="49" t="str">
        <x:v>R3</x:v>
      </x:c>
      <x:c r="E41" s="49" t="str">
        <x:v>R1</x:v>
      </x:c>
      <x:c r="F41" s="49" t="n">
        <x:v>12</x:v>
      </x:c>
      <x:c r="G41" s="49" t="n">
        <x:v>12</x:v>
      </x:c>
      <x:c r="H41" s="51" t="n">
        <x:f aca="0">DATE(2026,8,24)+(G41-1)*7+4-1+TIME(23,59,0)-48/24</x:f>
        <x:v>46336.99930555555</x:v>
      </x:c>
      <x:c r="I41" s="50" t="str">
        <x:v>Diagrama y texto identifican llamadas MPI, dueño de acumuladores y ruta de resultados.</x:v>
      </x:c>
      <x:c r="J41" s="52" t="s">
        <x:v>119</x:v>
      </x:c>
      <x:c r="K41" s="53" t="n">
        <x:v>0</x:v>
      </x:c>
      <x:c r="L41" s="54" t="str">
        <x:f aca="0">IF(AND(L$3&gt;=$F41,L$3&lt;=$G41),1,"")</x:f>
      </x:c>
      <x:c r="M41" s="54" t="str">
        <x:f aca="0">IF(AND(M$3&gt;=$F41,M$3&lt;=$G41),1,"")</x:f>
      </x:c>
      <x:c r="N41" s="54" t="str">
        <x:f aca="0">IF(AND(N$3&gt;=$F41,N$3&lt;=$G41),1,"")</x:f>
      </x:c>
      <x:c r="O41" s="54" t="str">
        <x:f aca="0">IF(AND(O$3&gt;=$F41,O$3&lt;=$G41),1,"")</x:f>
      </x:c>
      <x:c r="P41" s="54" t="str">
        <x:f aca="0">IF(AND(P$3&gt;=$F41,P$3&lt;=$G41),1,"")</x:f>
      </x:c>
      <x:c r="Q41" s="54" t="str">
        <x:f aca="0">IF(AND(Q$3&gt;=$F41,Q$3&lt;=$G41),1,"")</x:f>
      </x:c>
      <x:c r="R41" s="54" t="n">
        <x:f aca="0">IF(AND(R$3&gt;=$F41,R$3&lt;=$G41),1,"")</x:f>
        <x:v>1</x:v>
      </x:c>
      <x:c r="S41" s="54" t="str">
        <x:f aca="0">IF(AND(S$3&gt;=$F41,S$3&lt;=$G41),1,"")</x:f>
      </x:c>
      <x:c r="T41" s="54" t="str">
        <x:f aca="0">IF(AND(T$3&gt;=$F41,T$3&lt;=$G41),1,"")</x:f>
      </x:c>
      <x:c r="U41" s="54" t="str">
        <x:f aca="0">IF(AND(U$3&gt;=$F41,U$3&lt;=$G41),1,"")</x:f>
      </x:c>
      <x:c r="V41" s="78" t="str">
        <x:v>—</x:v>
      </x:c>
      <x:c r="W41" s="78" t="str">
        <x:v>Diagrama y explicación en MD de MPI, OpenMP, reducciones y afinidad.</x:v>
      </x:c>
      <x:c r="X41" s="78" t="str">
        <x:v>Código T15,T19,T20,T24; resultados de afinidad y validación.</x:v>
      </x:c>
      <x:c r="Y41" s="78" t="str">
        <x:v>Dibujar jerarquía de procesos, hilos y datos; identificar MPI_Init_thread, mensajes, reducciones, dueño de bins y afinidad; contrastar diagrama con código real.</x:v>
      </x:c>
      <x:c r="Z41" s="78" t="str">
        <x:v>docs/arquitectura-paralela.md con diagrama, rutas de funciones y configuraciones probadas.</x:v>
      </x:c>
    </x:row>
    <x:row r="42" ht="95" hidden="0" customHeight="1">
      <x:c r="A42" s="55" t="s">
        <x:v>138</x:v>
      </x:c>
      <x:c r="B42" s="55" t="s">
        <x:v>71</x:v>
      </x:c>
      <x:c r="C42" s="56" t="str">
        <x:v>Implementar kernel CUDA con Philox e índice global</x:v>
      </x:c>
      <x:c r="D42" s="55" t="str">
        <x:v>R4</x:v>
      </x:c>
      <x:c r="E42" s="55" t="s">
        <x:v>32</x:v>
      </x:c>
      <x:c r="F42" s="55" t="n">
        <x:v>11</x:v>
      </x:c>
      <x:c r="G42" s="55" t="n">
        <x:v>11</x:v>
      </x:c>
      <x:c r="H42" s="57" t="n">
        <x:f aca="0">DATE(2026,8,24)+(G42-1)*7+4-1+TIME(23,59,0)-48/24</x:f>
        <x:v>46329.99930555555</x:v>
      </x:c>
      <x:c r="I42" s="56" t="str">
        <x:v>Compila y produce k/histograma para caso pequeño con semilla fija.</x:v>
      </x:c>
      <x:c r="J42" s="52" t="s">
        <x:v>119</x:v>
      </x:c>
      <x:c r="K42" s="53" t="n">
        <x:v>0</x:v>
      </x:c>
      <x:c r="L42" s="54" t="str">
        <x:f aca="0">IF(AND(L$3&gt;=$F42,L$3&lt;=$G42),1,"")</x:f>
      </x:c>
      <x:c r="M42" s="54" t="str">
        <x:f aca="0">IF(AND(M$3&gt;=$F42,M$3&lt;=$G42),1,"")</x:f>
      </x:c>
      <x:c r="N42" s="54" t="str">
        <x:f aca="0">IF(AND(N$3&gt;=$F42,N$3&lt;=$G42),1,"")</x:f>
      </x:c>
      <x:c r="O42" s="54" t="str">
        <x:f aca="0">IF(AND(O$3&gt;=$F42,O$3&lt;=$G42),1,"")</x:f>
      </x:c>
      <x:c r="P42" s="54" t="str">
        <x:f aca="0">IF(AND(P$3&gt;=$F42,P$3&lt;=$G42),1,"")</x:f>
      </x:c>
      <x:c r="Q42" s="54" t="n">
        <x:f aca="0">IF(AND(Q$3&gt;=$F42,Q$3&lt;=$G42),1,"")</x:f>
        <x:v>1</x:v>
      </x:c>
      <x:c r="R42" s="54" t="str">
        <x:f aca="0">IF(AND(R$3&gt;=$F42,R$3&lt;=$G42),1,"")</x:f>
      </x:c>
      <x:c r="S42" s="54" t="str">
        <x:f aca="0">IF(AND(S$3&gt;=$F42,S$3&lt;=$G42),1,"")</x:f>
      </x:c>
      <x:c r="T42" s="54" t="str">
        <x:f aca="0">IF(AND(T$3&gt;=$F42,T$3&lt;=$G42),1,"")</x:f>
      </x:c>
      <x:c r="U42" s="54" t="str">
        <x:f aca="0">IF(AND(U$3&gt;=$F42,U$3&lt;=$G42),1,"")</x:f>
      </x:c>
      <x:c r="V42" s="78" t="str">
        <x:v>include/cuda.hpp; src/backends/cuda/kernel.cu; src/backends/cuda/CMakeLists.txt</x:v>
      </x:c>
      <x:c r="W42" s="78" t="str">
        <x:v>CUDA C++ y salida de prueba pequeña; solo si EXT1 se activa.</x:v>
      </x:c>
      <x:c r="X42" s="78" t="str">
        <x:v>Decisión EXT1=T29 activada; GPU T23; contrato T02; archivos CUDA reservados.</x:v>
      </x:c>
      <x:c r="Y42" s="78" t="str">
        <x:v>Compilar kernel CUDA con índice global Philox; generar lluvia/balance para N pequeño; producir k/bins por bloque; comparar semilla fija con referencia CPU bajo tolerancia indicada.</x:v>
      </x:c>
      <x:c r="Z42" s="78" t="str">
        <x:v>Ejecutable CUDA de caso pequeño, comando nvcc/CMake y CSV/log con N, k, bins, GPU y tolerancia.</x:v>
      </x:c>
    </x:row>
    <x:row r="43" ht="95" hidden="0" customHeight="1">
      <x:c r="A43" s="55" t="s">
        <x:v>139</x:v>
      </x:c>
      <x:c r="B43" s="55" t="s">
        <x:v>71</x:v>
      </x:c>
      <x:c r="C43" s="56" t="str">
        <x:v>Implementar reducción CUDA y ejecutar V2/V8</x:v>
      </x:c>
      <x:c r="D43" s="55" t="str">
        <x:v>R4</x:v>
      </x:c>
      <x:c r="E43" s="55" t="s">
        <x:v>32</x:v>
      </x:c>
      <x:c r="F43" s="55" t="n">
        <x:v>12</x:v>
      </x:c>
      <x:c r="G43" s="55" t="n">
        <x:v>12</x:v>
      </x:c>
      <x:c r="H43" s="57" t="n">
        <x:f aca="0">DATE(2026,8,24)+(G43-1)*7+4-1+TIME(23,59,0)-48/24</x:f>
        <x:v>46336.99930555555</x:v>
      </x:c>
      <x:c r="I43" s="56" t="str">
        <x:v>V2 dentro de tolerancia documentada; compute-sanitizer sin errores.</x:v>
      </x:c>
      <x:c r="J43" s="52" t="s">
        <x:v>119</x:v>
      </x:c>
      <x:c r="K43" s="53" t="n">
        <x:v>0</x:v>
      </x:c>
      <x:c r="L43" s="54" t="str">
        <x:f aca="0">IF(AND(L$3&gt;=$F43,L$3&lt;=$G43),1,"")</x:f>
      </x:c>
      <x:c r="M43" s="54" t="str">
        <x:f aca="0">IF(AND(M$3&gt;=$F43,M$3&lt;=$G43),1,"")</x:f>
      </x:c>
      <x:c r="N43" s="54" t="str">
        <x:f aca="0">IF(AND(N$3&gt;=$F43,N$3&lt;=$G43),1,"")</x:f>
      </x:c>
      <x:c r="O43" s="54" t="str">
        <x:f aca="0">IF(AND(O$3&gt;=$F43,O$3&lt;=$G43),1,"")</x:f>
      </x:c>
      <x:c r="P43" s="54" t="str">
        <x:f aca="0">IF(AND(P$3&gt;=$F43,P$3&lt;=$G43),1,"")</x:f>
      </x:c>
      <x:c r="Q43" s="54" t="str">
        <x:f aca="0">IF(AND(Q$3&gt;=$F43,Q$3&lt;=$G43),1,"")</x:f>
      </x:c>
      <x:c r="R43" s="54" t="n">
        <x:f aca="0">IF(AND(R$3&gt;=$F43,R$3&lt;=$G43),1,"")</x:f>
        <x:v>1</x:v>
      </x:c>
      <x:c r="S43" s="54" t="str">
        <x:f aca="0">IF(AND(S$3&gt;=$F43,S$3&lt;=$G43),1,"")</x:f>
      </x:c>
      <x:c r="T43" s="54" t="str">
        <x:f aca="0">IF(AND(T$3&gt;=$F43,T$3&lt;=$G43),1,"")</x:f>
      </x:c>
      <x:c r="U43" s="54" t="str">
        <x:f aca="0">IF(AND(U$3&gt;=$F43,U$3&lt;=$G43),1,"")</x:f>
      </x:c>
      <x:c r="V43" s="78" t="str">
        <x:v>src/backends/cuda/reduccion.cu; tests/concurrency/test_cuda.py</x:v>
      </x:c>
      <x:c r="W43" s="78" t="str">
        <x:v>CUDA C++ y log de V2/V8 y compute-sanitizer; solo si EXT1.</x:v>
      </x:c>
      <x:c r="X43" s="78" t="str">
        <x:v>Kernel T38; decisión EXT1; tests/concurrency/test_cuda.py.</x:v>
      </x:c>
      <x:c r="Y43" s="78" t="str">
        <x:v>Implementar reducción de k y 512 bins; ejecutar V2 CPU–GPU con tolerancia documentada y V8 con compute-sanitizer; registrar comando y versión de herramienta.</x:v>
      </x:c>
      <x:c r="Z43" s="78" t="str">
        <x:v>Log V2 con diferencias numéricas y tolerancia; log V8 sin errores o incidencia reproducible.</x:v>
      </x:c>
    </x:row>
    <x:row r="44" ht="95" hidden="0" customHeight="1">
      <x:c r="A44" s="55" t="s">
        <x:v>140</x:v>
      </x:c>
      <x:c r="B44" s="55" t="s">
        <x:v>71</x:v>
      </x:c>
      <x:c r="C44" s="56" t="str">
        <x:v>Medir CUDA con 2/4/8/16 bloques y 128/256/512 hilos por bloque</x:v>
      </x:c>
      <x:c r="D44" s="55" t="str">
        <x:v>R4</x:v>
      </x:c>
      <x:c r="E44" s="55" t="s">
        <x:v>63</x:v>
      </x:c>
      <x:c r="F44" s="55" t="n">
        <x:v>12</x:v>
      </x:c>
      <x:c r="G44" s="55" t="n">
        <x:v>12</x:v>
      </x:c>
      <x:c r="H44" s="57" t="n">
        <x:f aca="0">DATE(2026,8,24)+(G44-1)*7+4-1+TIME(23,59,0)-48/24</x:f>
        <x:v>46336.99930555555</x:v>
      </x:c>
      <x:c r="I44" s="56" t="str">
        <x:v>CSV de misma carga/semilla y cinco tiempos por punto; SM y ocupación observada.</x:v>
      </x:c>
      <x:c r="J44" s="52" t="s">
        <x:v>119</x:v>
      </x:c>
      <x:c r="K44" s="53" t="n">
        <x:v>0</x:v>
      </x:c>
      <x:c r="L44" s="54" t="str">
        <x:f aca="0">IF(AND(L$3&gt;=$F44,L$3&lt;=$G44),1,"")</x:f>
      </x:c>
      <x:c r="M44" s="54" t="str">
        <x:f aca="0">IF(AND(M$3&gt;=$F44,M$3&lt;=$G44),1,"")</x:f>
      </x:c>
      <x:c r="N44" s="54" t="str">
        <x:f aca="0">IF(AND(N$3&gt;=$F44,N$3&lt;=$G44),1,"")</x:f>
      </x:c>
      <x:c r="O44" s="54" t="str">
        <x:f aca="0">IF(AND(O$3&gt;=$F44,O$3&lt;=$G44),1,"")</x:f>
      </x:c>
      <x:c r="P44" s="54" t="str">
        <x:f aca="0">IF(AND(P$3&gt;=$F44,P$3&lt;=$G44),1,"")</x:f>
      </x:c>
      <x:c r="Q44" s="54" t="str">
        <x:f aca="0">IF(AND(Q$3&gt;=$F44,Q$3&lt;=$G44),1,"")</x:f>
      </x:c>
      <x:c r="R44" s="54" t="n">
        <x:f aca="0">IF(AND(R$3&gt;=$F44,R$3&lt;=$G44),1,"")</x:f>
        <x:v>1</x:v>
      </x:c>
      <x:c r="S44" s="54" t="str">
        <x:f aca="0">IF(AND(S$3&gt;=$F44,S$3&lt;=$G44),1,"")</x:f>
      </x:c>
      <x:c r="T44" s="54" t="str">
        <x:f aca="0">IF(AND(T$3&gt;=$F44,T$3&lt;=$G44),1,"")</x:f>
      </x:c>
      <x:c r="U44" s="54" t="str">
        <x:f aca="0">IF(AND(U$3&gt;=$F44,U$3&lt;=$G44),1,"")</x:f>
      </x:c>
      <x:c r="V44" s="78" t="str">
        <x:v>scripts/bench/medir_cuda.py</x:v>
      </x:c>
      <x:c r="W44" s="78" t="str">
        <x:v>CSV 2/4/8/16 bloques × 128/256/512 hilos/bloque, ocupación y cinco tiempos; EXT1.</x:v>
      </x:c>
      <x:c r="X44" s="78" t="str">
        <x:v>CUDA T38–T39; scripts/bench/medir_cuda.py; SM y memoria GPU T23.</x:v>
      </x:c>
      <x:c r="Y44" s="78" t="str">
        <x:v>Mantener N/semilla; barrer 2/4/8/16 bloques × 128/256/512 hilos por bloque; calentar y repetir cinco veces; registrar tiempo, ocupación observada y límites GPU.</x:v>
      </x:c>
      <x:c r="Z44" s="78" t="str">
        <x:v>results/bench/cuda.csv con 12 configuraciones, cinco tiempos, GPU/SM, ocupación y metadatos.</x:v>
      </x:c>
    </x:row>
    <x:row r="45" ht="95" hidden="0" customHeight="1">
      <x:c r="A45" s="55" t="s">
        <x:v>141</x:v>
      </x:c>
      <x:c r="B45" s="55" t="s">
        <x:v>76</x:v>
      </x:c>
      <x:c r="C45" s="56" t="str">
        <x:v>Integrar GPU como trabajador MPI y comparar CPU frente a CPU+GPU</x:v>
      </x:c>
      <x:c r="D45" s="55" t="str">
        <x:v>R4</x:v>
      </x:c>
      <x:c r="E45" s="55" t="s">
        <x:v>21</x:v>
      </x:c>
      <x:c r="F45" s="55" t="n">
        <x:v>13</x:v>
      </x:c>
      <x:c r="G45" s="55" t="n">
        <x:v>13</x:v>
      </x:c>
      <x:c r="H45" s="57" t="n">
        <x:f aca="0">DATE(2026,8,24)+(G45-1)*7+4-1+TIME(23,59,0)-48/24</x:f>
        <x:v>46343.99930555555</x:v>
      </x:c>
      <x:c r="I45" s="56" t="str">
        <x:v>V3 pasa y CSV de cinco tiempos por variante con igual N y recursos descritos.</x:v>
      </x:c>
      <x:c r="J45" s="52" t="s">
        <x:v>119</x:v>
      </x:c>
      <x:c r="K45" s="53" t="n">
        <x:v>0</x:v>
      </x:c>
      <x:c r="L45" s="54" t="str">
        <x:f aca="0">IF(AND(L$3&gt;=$F45,L$3&lt;=$G45),1,"")</x:f>
      </x:c>
      <x:c r="M45" s="54" t="str">
        <x:f aca="0">IF(AND(M$3&gt;=$F45,M$3&lt;=$G45),1,"")</x:f>
      </x:c>
      <x:c r="N45" s="54" t="str">
        <x:f aca="0">IF(AND(N$3&gt;=$F45,N$3&lt;=$G45),1,"")</x:f>
      </x:c>
      <x:c r="O45" s="54" t="str">
        <x:f aca="0">IF(AND(O$3&gt;=$F45,O$3&lt;=$G45),1,"")</x:f>
      </x:c>
      <x:c r="P45" s="54" t="str">
        <x:f aca="0">IF(AND(P$3&gt;=$F45,P$3&lt;=$G45),1,"")</x:f>
      </x:c>
      <x:c r="Q45" s="54" t="str">
        <x:f aca="0">IF(AND(Q$3&gt;=$F45,Q$3&lt;=$G45),1,"")</x:f>
      </x:c>
      <x:c r="R45" s="54" t="str">
        <x:f aca="0">IF(AND(R$3&gt;=$F45,R$3&lt;=$G45),1,"")</x:f>
      </x:c>
      <x:c r="S45" s="54" t="n">
        <x:f aca="0">IF(AND(S$3&gt;=$F45,S$3&lt;=$G45),1,"")</x:f>
        <x:v>1</x:v>
      </x:c>
      <x:c r="T45" s="54" t="str">
        <x:f aca="0">IF(AND(T$3&gt;=$F45,T$3&lt;=$G45),1,"")</x:f>
      </x:c>
      <x:c r="U45" s="54" t="str">
        <x:f aca="0">IF(AND(U$3&gt;=$F45,U$3&lt;=$G45),1,"")</x:f>
      </x:c>
      <x:c r="V45" s="78" t="str">
        <x:v>src/backends/cuda/trabajador_mpi.cpp</x:v>
      </x:c>
      <x:c r="W45" s="78" t="str">
        <x:v>C++/MPI/CUDA; CSV CPU frente a CPU+GPU y log V3; solo si EXT2.</x:v>
      </x:c>
      <x:c r="X45" s="78" t="str">
        <x:v>EXT2 activada T29; E1/E2 T19–T20; CUDA validado T39.</x:v>
      </x:c>
      <x:c r="Y45" s="78" t="str">
        <x:v>Asignar rangos a trabajador GPU sin duplicación; comparar CPU y CPU+GPU con igual N/semilla y cinco tiempos; verificar V3 y registrar transferencia/comunicación.</x:v>
      </x:c>
      <x:c r="Z45" s="78" t="str">
        <x:v>Log V3 y results/bench/mpi_gpu.csv con N, recursos, cinco tiempos y coste de transferencia.</x:v>
      </x:c>
    </x:row>
    <x:row r="46" ht="95" hidden="0" customHeight="1">
      <x:c r="A46" s="49" t="s">
        <x:v>142</x:v>
      </x:c>
      <x:c r="B46" s="49" t="s">
        <x:v>51</x:v>
      </x:c>
      <x:c r="C46" s="50" t="str">
        <x:v>Ejecutar X7 para U=30/50/80 mm y normal/El Niño</x:v>
      </x:c>
      <x:c r="D46" s="49" t="str">
        <x:v>R2</x:v>
      </x:c>
      <x:c r="E46" s="49" t="s">
        <x:v>63</x:v>
      </x:c>
      <x:c r="F46" s="49" t="n">
        <x:v>13</x:v>
      </x:c>
      <x:c r="G46" s="49" t="n">
        <x:v>13</x:v>
      </x:c>
      <x:c r="H46" s="51" t="n">
        <x:f aca="0">DATE(2026,8,24)+(G46-1)*7+4-1+TIME(23,59,0)-48/24</x:f>
        <x:v>46343.99930555555</x:v>
      </x:c>
      <x:c r="I46" s="50" t="str">
        <x:v>CSV y figuras reproducibles con misma semilla y parámetros trazables.</x:v>
      </x:c>
      <x:c r="J46" s="52" t="s">
        <x:v>119</x:v>
      </x:c>
      <x:c r="K46" s="53" t="n">
        <x:v>0</x:v>
      </x:c>
      <x:c r="L46" s="54" t="str">
        <x:f aca="0">IF(AND(L$3&gt;=$F46,L$3&lt;=$G46),1,"")</x:f>
      </x:c>
      <x:c r="M46" s="54" t="str">
        <x:f aca="0">IF(AND(M$3&gt;=$F46,M$3&lt;=$G46),1,"")</x:f>
      </x:c>
      <x:c r="N46" s="54" t="str">
        <x:f aca="0">IF(AND(N$3&gt;=$F46,N$3&lt;=$G46),1,"")</x:f>
      </x:c>
      <x:c r="O46" s="54" t="str">
        <x:f aca="0">IF(AND(O$3&gt;=$F46,O$3&lt;=$G46),1,"")</x:f>
      </x:c>
      <x:c r="P46" s="54" t="str">
        <x:f aca="0">IF(AND(P$3&gt;=$F46,P$3&lt;=$G46),1,"")</x:f>
      </x:c>
      <x:c r="Q46" s="54" t="str">
        <x:f aca="0">IF(AND(Q$3&gt;=$F46,Q$3&lt;=$G46),1,"")</x:f>
      </x:c>
      <x:c r="R46" s="54" t="str">
        <x:f aca="0">IF(AND(R$3&gt;=$F46,R$3&lt;=$G46),1,"")</x:f>
      </x:c>
      <x:c r="S46" s="54" t="n">
        <x:f aca="0">IF(AND(S$3&gt;=$F46,S$3&lt;=$G46),1,"")</x:f>
        <x:v>1</x:v>
      </x:c>
      <x:c r="T46" s="54" t="str">
        <x:f aca="0">IF(AND(T$3&gt;=$F46,T$3&lt;=$G46),1,"")</x:f>
      </x:c>
      <x:c r="U46" s="54" t="str">
        <x:f aca="0">IF(AND(U$3&gt;=$F46,U$3&lt;=$G46),1,"")</x:f>
      </x:c>
      <x:c r="V46" s="78" t="str">
        <x:v>scripts/run/sensibilidad.py</x:v>
      </x:c>
      <x:c r="W46" s="78" t="str">
        <x:v>CSV X7 y figuras PNG/SVG para umbral y régimen.</x:v>
      </x:c>
      <x:c r="X46" s="78" t="str">
        <x:v>Parámetros T10; resultados X6 T34; scripts/run/sensibilidad.py.</x:v>
      </x:c>
      <x:c r="Y46" s="78" t="str">
        <x:v>Fijar mismas semillas y capacidad; repetir U=30,50,80 mm por régimen normal/El Niño; calcular riesgo e IC para cada punto; anotar parámetros de entrada.</x:v>
      </x:c>
      <x:c r="Z46" s="78" t="str">
        <x:v>results/analysis/x7_sensibilidad.csv y PNG/SVG con umbral, régimen, N, semilla y fuente de parámetros.</x:v>
      </x:c>
    </x:row>
    <x:row r="47" ht="95" hidden="0" customHeight="1">
      <x:c r="A47" s="49" t="s">
        <x:v>143</x:v>
      </x:c>
      <x:c r="B47" s="49" t="s">
        <x:v>51</x:v>
      </x:c>
      <x:c r="C47" s="50" t="str">
        <x:v>Integrar solo extensiones que superen sus pruebas</x:v>
      </x:c>
      <x:c r="D47" s="49" t="str">
        <x:v>R1</x:v>
      </x:c>
      <x:c r="E47" s="49" t="s">
        <x:v>74</x:v>
      </x:c>
      <x:c r="F47" s="49" t="n">
        <x:v>13</x:v>
      </x:c>
      <x:c r="G47" s="49" t="n">
        <x:v>13</x:v>
      </x:c>
      <x:c r="H47" s="51" t="n">
        <x:f aca="0">DATE(2026,8,24)+(G47-1)*7+4-1+TIME(23,59,0)-48/24</x:f>
        <x:v>46343.99930555555</x:v>
      </x:c>
      <x:c r="I47" s="50" t="str">
        <x:v>Registro de integración indica EXT1/EXT2 y resultados V2/V8; main pasa CI.</x:v>
      </x:c>
      <x:c r="J47" s="52" t="s">
        <x:v>119</x:v>
      </x:c>
      <x:c r="K47" s="53" t="n">
        <x:v>0</x:v>
      </x:c>
      <x:c r="L47" s="54" t="str">
        <x:f aca="0">IF(AND(L$3&gt;=$F47,L$3&lt;=$G47),1,"")</x:f>
      </x:c>
      <x:c r="M47" s="54" t="str">
        <x:f aca="0">IF(AND(M$3&gt;=$F47,M$3&lt;=$G47),1,"")</x:f>
      </x:c>
      <x:c r="N47" s="54" t="str">
        <x:f aca="0">IF(AND(N$3&gt;=$F47,N$3&lt;=$G47),1,"")</x:f>
      </x:c>
      <x:c r="O47" s="54" t="str">
        <x:f aca="0">IF(AND(O$3&gt;=$F47,O$3&lt;=$G47),1,"")</x:f>
      </x:c>
      <x:c r="P47" s="54" t="str">
        <x:f aca="0">IF(AND(P$3&gt;=$F47,P$3&lt;=$G47),1,"")</x:f>
      </x:c>
      <x:c r="Q47" s="54" t="str">
        <x:f aca="0">IF(AND(Q$3&gt;=$F47,Q$3&lt;=$G47),1,"")</x:f>
      </x:c>
      <x:c r="R47" s="54" t="str">
        <x:f aca="0">IF(AND(R$3&gt;=$F47,R$3&lt;=$G47),1,"")</x:f>
      </x:c>
      <x:c r="S47" s="54" t="n">
        <x:f aca="0">IF(AND(S$3&gt;=$F47,S$3&lt;=$G47),1,"")</x:f>
        <x:v>1</x:v>
      </x:c>
      <x:c r="T47" s="54" t="str">
        <x:f aca="0">IF(AND(T$3&gt;=$F47,T$3&lt;=$G47),1,"")</x:f>
      </x:c>
      <x:c r="U47" s="54" t="str">
        <x:f aca="0">IF(AND(U$3&gt;=$F47,U$3&lt;=$G47),1,"")</x:f>
      </x:c>
      <x:c r="V47" s="78" t="str">
        <x:v>—</x:v>
      </x:c>
      <x:c r="W47" s="78" t="str">
        <x:v>Pull request de integración y log CI; no duplicar archivos de otros módulos.</x:v>
      </x:c>
      <x:c r="X47" s="78" t="str">
        <x:v>Decisión T29; pruebas T39/T41; ramas de extensiones.</x:v>
      </x:c>
      <x:c r="Y47" s="78" t="str">
        <x:v>Revisar V2/V8 y V3; integrar solo extensiones activadas que pasan; resolver conflictos de CMake/interfaz; ejecutar compilación/CTest en main y registrar decisión final.</x:v>
      </x:c>
      <x:c r="Z47" s="78" t="str">
        <x:v>PR de integración, enlace a CI verde y docs/decision-cuda.md actualizado con estado EXT1/EXT2.</x:v>
      </x:c>
    </x:row>
    <x:row r="48" ht="95" hidden="0" customHeight="1">
      <x:c r="A48" s="49" t="s">
        <x:v>144</x:v>
      </x:c>
      <x:c r="B48" s="49" t="s">
        <x:v>51</x:v>
      </x:c>
      <x:c r="C48" s="50" t="str">
        <x:v>Etiquetar código final y documentar reproducción</x:v>
      </x:c>
      <x:c r="D48" s="49" t="str">
        <x:v>R1</x:v>
      </x:c>
      <x:c r="E48" s="49" t="s">
        <x:v>32</x:v>
      </x:c>
      <x:c r="F48" s="49" t="n">
        <x:v>13</x:v>
      </x:c>
      <x:c r="G48" s="49" t="n">
        <x:v>13</x:v>
      </x:c>
      <x:c r="H48" s="51" t="n">
        <x:f aca="0">DATE(2026,8,24)+(G48-1)*7+4-1+TIME(23,59,0)-48/24</x:f>
        <x:v>46343.99930555555</x:v>
      </x:c>
      <x:c r="I48" s="50" t="str">
        <x:v>Tag entrega-final y README con comandos para compilar, probar y repetir X1–X7 aplicables.</x:v>
      </x:c>
      <x:c r="J48" s="52" t="s">
        <x:v>119</x:v>
      </x:c>
      <x:c r="K48" s="53" t="n">
        <x:v>0</x:v>
      </x:c>
      <x:c r="L48" s="54" t="str">
        <x:f aca="0">IF(AND(L$3&gt;=$F48,L$3&lt;=$G48),1,"")</x:f>
      </x:c>
      <x:c r="M48" s="54" t="str">
        <x:f aca="0">IF(AND(M$3&gt;=$F48,M$3&lt;=$G48),1,"")</x:f>
      </x:c>
      <x:c r="N48" s="54" t="str">
        <x:f aca="0">IF(AND(N$3&gt;=$F48,N$3&lt;=$G48),1,"")</x:f>
      </x:c>
      <x:c r="O48" s="54" t="str">
        <x:f aca="0">IF(AND(O$3&gt;=$F48,O$3&lt;=$G48),1,"")</x:f>
      </x:c>
      <x:c r="P48" s="54" t="str">
        <x:f aca="0">IF(AND(P$3&gt;=$F48,P$3&lt;=$G48),1,"")</x:f>
      </x:c>
      <x:c r="Q48" s="54" t="str">
        <x:f aca="0">IF(AND(Q$3&gt;=$F48,Q$3&lt;=$G48),1,"")</x:f>
      </x:c>
      <x:c r="R48" s="54" t="str">
        <x:f aca="0">IF(AND(R$3&gt;=$F48,R$3&lt;=$G48),1,"")</x:f>
      </x:c>
      <x:c r="S48" s="54" t="n">
        <x:f aca="0">IF(AND(S$3&gt;=$F48,S$3&lt;=$G48),1,"")</x:f>
        <x:v>1</x:v>
      </x:c>
      <x:c r="T48" s="54" t="str">
        <x:f aca="0">IF(AND(T$3&gt;=$F48,T$3&lt;=$G48),1,"")</x:f>
      </x:c>
      <x:c r="U48" s="54" t="str">
        <x:f aca="0">IF(AND(U$3&gt;=$F48,U$3&lt;=$G48),1,"")</x:f>
      </x:c>
      <x:c r="V48" s="78" t="str">
        <x:v>—</x:v>
      </x:c>
      <x:c r="W48" s="78" t="str">
        <x:v>README actualizado y tag Git entrega-final; comandos reproducibles.</x:v>
      </x:c>
      <x:c r="X48" s="78" t="str">
        <x:v>Main tras T43; scripts, datos de ejemplo y cronograma de experimentos.</x:v>
      </x:c>
      <x:c r="Y48" s="78" t="str">
        <x:v>Verificar clon limpio; documentar dependencias y comandos para compilar, validar y repetir X1–X7 aplicables; etiquetar commit aprobado como entrega-final.</x:v>
      </x:c>
      <x:c r="Z48" s="78" t="str">
        <x:v>README con comandos probados y tag entrega-final apuntando al commit validado.</x:v>
      </x:c>
    </x:row>
    <x:row r="49" ht="95" hidden="0" customHeight="1">
      <x:c r="A49" s="49" t="s">
        <x:v>145</x:v>
      </x:c>
      <x:c r="B49" s="49" t="s">
        <x:v>51</x:v>
      </x:c>
      <x:c r="C49" s="50" t="str">
        <x:v>Generar figuras finales de rendimiento, riesgo y sensibilidad</x:v>
      </x:c>
      <x:c r="D49" s="49" t="str">
        <x:v>R6</x:v>
      </x:c>
      <x:c r="E49" s="49" t="s">
        <x:v>40</x:v>
      </x:c>
      <x:c r="F49" s="49" t="n">
        <x:v>13</x:v>
      </x:c>
      <x:c r="G49" s="49" t="n">
        <x:v>13</x:v>
      </x:c>
      <x:c r="H49" s="51" t="n">
        <x:f aca="0">DATE(2026,8,24)+(G49-1)*7+4-1+TIME(23,59,0)-48/24</x:f>
        <x:v>46343.99930555555</x:v>
      </x:c>
      <x:c r="I49" s="50" t="str">
        <x:v>Archivos con título, unidades, leyenda, fuente CSV y resolución apta para informe.</x:v>
      </x:c>
      <x:c r="J49" s="52" t="s">
        <x:v>119</x:v>
      </x:c>
      <x:c r="K49" s="53" t="n">
        <x:v>0</x:v>
      </x:c>
      <x:c r="L49" s="54" t="str">
        <x:f aca="0">IF(AND(L$3&gt;=$F49,L$3&lt;=$G49),1,"")</x:f>
      </x:c>
      <x:c r="M49" s="54" t="str">
        <x:f aca="0">IF(AND(M$3&gt;=$F49,M$3&lt;=$G49),1,"")</x:f>
      </x:c>
      <x:c r="N49" s="54" t="str">
        <x:f aca="0">IF(AND(N$3&gt;=$F49,N$3&lt;=$G49),1,"")</x:f>
      </x:c>
      <x:c r="O49" s="54" t="str">
        <x:f aca="0">IF(AND(O$3&gt;=$F49,O$3&lt;=$G49),1,"")</x:f>
      </x:c>
      <x:c r="P49" s="54" t="str">
        <x:f aca="0">IF(AND(P$3&gt;=$F49,P$3&lt;=$G49),1,"")</x:f>
      </x:c>
      <x:c r="Q49" s="54" t="str">
        <x:f aca="0">IF(AND(Q$3&gt;=$F49,Q$3&lt;=$G49),1,"")</x:f>
      </x:c>
      <x:c r="R49" s="54" t="str">
        <x:f aca="0">IF(AND(R$3&gt;=$F49,R$3&lt;=$G49),1,"")</x:f>
      </x:c>
      <x:c r="S49" s="54" t="n">
        <x:f aca="0">IF(AND(S$3&gt;=$F49,S$3&lt;=$G49),1,"")</x:f>
        <x:v>1</x:v>
      </x:c>
      <x:c r="T49" s="54" t="str">
        <x:f aca="0">IF(AND(T$3&gt;=$F49,T$3&lt;=$G49),1,"")</x:f>
      </x:c>
      <x:c r="U49" s="54" t="str">
        <x:f aca="0">IF(AND(U$3&gt;=$F49,U$3&lt;=$G49),1,"")</x:f>
      </x:c>
      <x:c r="V49" s="78" t="str">
        <x:v>scripts/bench/graficar-final.py</x:v>
      </x:c>
      <x:c r="W49" s="78" t="str">
        <x:v>Figuras PNG/SVG con unidades, leyenda, fuente CSV y resolución.</x:v>
      </x:c>
      <x:c r="X49" s="78" t="str">
        <x:v>CSV T30–T35,T40,T42; scripts/bench/graficar-final.py.</x:v>
      </x:c>
      <x:c r="Y49" s="78" t="str">
        <x:v>Seleccionar métricas científicas y de rendimiento; generar PNG/SVG con unidad, título, leyenda, incertidumbre y fuente CSV; verificar legibilidad en tamaño de informe.</x:v>
      </x:c>
      <x:c r="Z49" s="78" t="str">
        <x:v>results/figures/final/*.png o *.svg y manifiesto figura→CSV→script.</x:v>
      </x:c>
    </x:row>
    <x:row r="50" ht="95" hidden="0" customHeight="1">
      <x:c r="A50" s="49" t="s">
        <x:v>146</x:v>
      </x:c>
      <x:c r="B50" s="49" t="s">
        <x:v>57</x:v>
      </x:c>
      <x:c r="C50" s="50" t="str">
        <x:v>Integrar informe IEEE con problema, modelo, método y resultados</x:v>
      </x:c>
      <x:c r="D50" s="49" t="str">
        <x:v>R6</x:v>
      </x:c>
      <x:c r="E50" s="49" t="s">
        <x:v>21</x:v>
      </x:c>
      <x:c r="F50" s="49" t="n">
        <x:v>14</x:v>
      </x:c>
      <x:c r="G50" s="49" t="n">
        <x:v>14</x:v>
      </x:c>
      <x:c r="H50" s="51" t="n">
        <x:f aca="0">DATE(2026,8,24)+(G50-1)*7+4-1+TIME(23,59,0)-48/24</x:f>
        <x:v>46350.99930555555</x:v>
      </x:c>
      <x:c r="I50" s="50" t="str">
        <x:v>PDF contiene todas las secciones, tablas y figuras concordantes con CSV.</x:v>
      </x:c>
      <x:c r="J50" s="52" t="s">
        <x:v>119</x:v>
      </x:c>
      <x:c r="K50" s="53" t="n">
        <x:v>0</x:v>
      </x:c>
      <x:c r="L50" s="54" t="str">
        <x:f aca="0">IF(AND(L$3&gt;=$F50,L$3&lt;=$G50),1,"")</x:f>
      </x:c>
      <x:c r="M50" s="54" t="str">
        <x:f aca="0">IF(AND(M$3&gt;=$F50,M$3&lt;=$G50),1,"")</x:f>
      </x:c>
      <x:c r="N50" s="54" t="str">
        <x:f aca="0">IF(AND(N$3&gt;=$F50,N$3&lt;=$G50),1,"")</x:f>
      </x:c>
      <x:c r="O50" s="54" t="str">
        <x:f aca="0">IF(AND(O$3&gt;=$F50,O$3&lt;=$G50),1,"")</x:f>
      </x:c>
      <x:c r="P50" s="54" t="str">
        <x:f aca="0">IF(AND(P$3&gt;=$F50,P$3&lt;=$G50),1,"")</x:f>
      </x:c>
      <x:c r="Q50" s="54" t="str">
        <x:f aca="0">IF(AND(Q$3&gt;=$F50,Q$3&lt;=$G50),1,"")</x:f>
      </x:c>
      <x:c r="R50" s="54" t="str">
        <x:f aca="0">IF(AND(R$3&gt;=$F50,R$3&lt;=$G50),1,"")</x:f>
      </x:c>
      <x:c r="S50" s="54" t="str">
        <x:f aca="0">IF(AND(S$3&gt;=$F50,S$3&lt;=$G50),1,"")</x:f>
      </x:c>
      <x:c r="T50" s="54" t="n">
        <x:f aca="0">IF(AND(T$3&gt;=$F50,T$3&lt;=$G50),1,"")</x:f>
        <x:v>1</x:v>
      </x:c>
      <x:c r="U50" s="54" t="str">
        <x:f aca="0">IF(AND(U$3&gt;=$F50,U$3&lt;=$G50),1,"")</x:f>
      </x:c>
      <x:c r="V50" s="78" t="str">
        <x:v>—</x:v>
      </x:c>
      <x:c r="W50" s="78" t="str">
        <x:v>Informe fuente en MD y PDF IEEE generado desde las secciones integradas.</x:v>
      </x:c>
      <x:c r="X50" s="78" t="str">
        <x:v>Secciones T28,T36,T37; figuras T45; referencias T47.</x:v>
      </x:c>
      <x:c r="Y50" s="78" t="str">
        <x:v>Unificar estilo IEEE, numeración, ecuaciones, tablas y citas; contrastar cifras con CSV; exportar PDF y revisar páginas, enlaces, figuras y fuentes.</x:v>
      </x:c>
      <x:c r="Z50" s="78" t="str">
        <x:v>reports/informe-final.md y reports/informe-final.pdf con revisión visual y correspondencia CSV.</x:v>
      </x:c>
    </x:row>
    <x:row r="51" ht="95" hidden="0" customHeight="1">
      <x:c r="A51" s="49" t="s">
        <x:v>147</x:v>
      </x:c>
      <x:c r="B51" s="49" t="s">
        <x:v>57</x:v>
      </x:c>
      <x:c r="C51" s="50" t="str">
        <x:v>Vincular cada referencia IEEE con una decisión de diseño</x:v>
      </x:c>
      <x:c r="D51" s="49" t="str">
        <x:v>R6</x:v>
      </x:c>
      <x:c r="E51" s="49" t="s">
        <x:v>28</x:v>
      </x:c>
      <x:c r="F51" s="49" t="n">
        <x:v>14</x:v>
      </x:c>
      <x:c r="G51" s="49" t="n">
        <x:v>14</x:v>
      </x:c>
      <x:c r="H51" s="51" t="n">
        <x:f aca="0">DATE(2026,8,24)+(G51-1)*7+4-1+TIME(23,59,0)-48/24</x:f>
        <x:v>46350.99930555555</x:v>
      </x:c>
      <x:c r="I51" s="50" t="str">
        <x:v>Tabla artículo–decisión–sección y citas verificables en el informe.</x:v>
      </x:c>
      <x:c r="J51" s="52" t="s">
        <x:v>119</x:v>
      </x:c>
      <x:c r="K51" s="53" t="n">
        <x:v>0</x:v>
      </x:c>
      <x:c r="L51" s="54" t="str">
        <x:f aca="0">IF(AND(L$3&gt;=$F51,L$3&lt;=$G51),1,"")</x:f>
      </x:c>
      <x:c r="M51" s="54" t="str">
        <x:f aca="0">IF(AND(M$3&gt;=$F51,M$3&lt;=$G51),1,"")</x:f>
      </x:c>
      <x:c r="N51" s="54" t="str">
        <x:f aca="0">IF(AND(N$3&gt;=$F51,N$3&lt;=$G51),1,"")</x:f>
      </x:c>
      <x:c r="O51" s="54" t="str">
        <x:f aca="0">IF(AND(O$3&gt;=$F51,O$3&lt;=$G51),1,"")</x:f>
      </x:c>
      <x:c r="P51" s="54" t="str">
        <x:f aca="0">IF(AND(P$3&gt;=$F51,P$3&lt;=$G51),1,"")</x:f>
      </x:c>
      <x:c r="Q51" s="54" t="str">
        <x:f aca="0">IF(AND(Q$3&gt;=$F51,Q$3&lt;=$G51),1,"")</x:f>
      </x:c>
      <x:c r="R51" s="54" t="str">
        <x:f aca="0">IF(AND(R$3&gt;=$F51,R$3&lt;=$G51),1,"")</x:f>
      </x:c>
      <x:c r="S51" s="54" t="str">
        <x:f aca="0">IF(AND(S$3&gt;=$F51,S$3&lt;=$G51),1,"")</x:f>
      </x:c>
      <x:c r="T51" s="54" t="n">
        <x:f aca="0">IF(AND(T$3&gt;=$F51,T$3&lt;=$G51),1,"")</x:f>
        <x:v>1</x:v>
      </x:c>
      <x:c r="U51" s="54" t="str">
        <x:f aca="0">IF(AND(U$3&gt;=$F51,U$3&lt;=$G51),1,"")</x:f>
      </x:c>
      <x:c r="V51" s="78" t="str">
        <x:v>—</x:v>
      </x:c>
      <x:c r="W51" s="78" t="str">
        <x:v>Referencias en BibTeX o MD y tabla fuente–decisión–sección.</x:v>
      </x:c>
      <x:c r="X51" s="78" t="str">
        <x:v>Bibliografía usada en definición y reporte; decisiones de modelo/arquitectura.</x:v>
      </x:c>
      <x:c r="Y51" s="78" t="str">
        <x:v>Verificar autor, título, año, DOI/URL; asociar cada fuente a decisión y sección donde se cita; eliminar referencias sin uso y citas sin entrada.</x:v>
      </x:c>
      <x:c r="Z51" s="78" t="str">
        <x:v>docs/referencias.bib o MD y tabla fuente–decisión–sección revisada.</x:v>
      </x:c>
    </x:row>
    <x:row r="52" ht="95" hidden="0" customHeight="1">
      <x:c r="A52" s="49" t="s">
        <x:v>148</x:v>
      </x:c>
      <x:c r="B52" s="49" t="s">
        <x:v>57</x:v>
      </x:c>
      <x:c r="C52" s="50" t="str">
        <x:v>Preparar anexo de reproducibilidad y esquemas de datos</x:v>
      </x:c>
      <x:c r="D52" s="49" t="str">
        <x:v>R3</x:v>
      </x:c>
      <x:c r="E52" s="49" t="str">
        <x:v>R1</x:v>
      </x:c>
      <x:c r="F52" s="49" t="n">
        <x:v>14</x:v>
      </x:c>
      <x:c r="G52" s="49" t="n">
        <x:v>14</x:v>
      </x:c>
      <x:c r="H52" s="51" t="n">
        <x:f aca="0">DATE(2026,8,24)+(G52-1)*7+4-1+TIME(23,59,0)-48/24</x:f>
        <x:v>46350.99930555555</x:v>
      </x:c>
      <x:c r="I52" s="50" t="str">
        <x:v>Anexo contiene hardware, commits, comandos, parámetros y ubicación de CSV.</x:v>
      </x:c>
      <x:c r="J52" s="52" t="s">
        <x:v>119</x:v>
      </x:c>
      <x:c r="K52" s="53" t="n">
        <x:v>0</x:v>
      </x:c>
      <x:c r="L52" s="54" t="str">
        <x:f aca="0">IF(AND(L$3&gt;=$F52,L$3&lt;=$G52),1,"")</x:f>
      </x:c>
      <x:c r="M52" s="54" t="str">
        <x:f aca="0">IF(AND(M$3&gt;=$F52,M$3&lt;=$G52),1,"")</x:f>
      </x:c>
      <x:c r="N52" s="54" t="str">
        <x:f aca="0">IF(AND(N$3&gt;=$F52,N$3&lt;=$G52),1,"")</x:f>
      </x:c>
      <x:c r="O52" s="54" t="str">
        <x:f aca="0">IF(AND(O$3&gt;=$F52,O$3&lt;=$G52),1,"")</x:f>
      </x:c>
      <x:c r="P52" s="54" t="str">
        <x:f aca="0">IF(AND(P$3&gt;=$F52,P$3&lt;=$G52),1,"")</x:f>
      </x:c>
      <x:c r="Q52" s="54" t="str">
        <x:f aca="0">IF(AND(Q$3&gt;=$F52,Q$3&lt;=$G52),1,"")</x:f>
      </x:c>
      <x:c r="R52" s="54" t="str">
        <x:f aca="0">IF(AND(R$3&gt;=$F52,R$3&lt;=$G52),1,"")</x:f>
      </x:c>
      <x:c r="S52" s="54" t="str">
        <x:f aca="0">IF(AND(S$3&gt;=$F52,S$3&lt;=$G52),1,"")</x:f>
      </x:c>
      <x:c r="T52" s="54" t="n">
        <x:f aca="0">IF(AND(T$3&gt;=$F52,T$3&lt;=$G52),1,"")</x:f>
        <x:v>1</x:v>
      </x:c>
      <x:c r="U52" s="54" t="str">
        <x:f aca="0">IF(AND(U$3&gt;=$F52,U$3&lt;=$G52),1,"")</x:f>
      </x:c>
      <x:c r="V52" s="78" t="str">
        <x:v>—</x:v>
      </x:c>
      <x:c r="W52" s="78" t="str">
        <x:v>Anexo en MD/PDF: hardware, comandos, parámetros y esquema CSV.</x:v>
      </x:c>
      <x:c r="X52" s="78" t="str">
        <x:v>Comandos T44; hardware y commits de benchmarks; esquemas CSV T02/T26.</x:v>
      </x:c>
      <x:c r="Y52" s="78" t="str">
        <x:v>Documentar sistema, compilador, GPU si aplica, versiones, semilla, archivos de entrada, columnas CSV y pasos para reproducir resultados; probar instrucciones en clon limpio.</x:v>
      </x:c>
      <x:c r="Z52" s="78" t="str">
        <x:v>reports/anexo-reproducibilidad.md/PDF con checklist de ejecución y rutas de datos.</x:v>
      </x:c>
    </x:row>
    <x:row r="53" ht="95" hidden="0" customHeight="1">
      <x:c r="A53" s="49" t="s">
        <x:v>149</x:v>
      </x:c>
      <x:c r="B53" s="49" t="s">
        <x:v>57</x:v>
      </x:c>
      <x:c r="C53" s="50" t="str">
        <x:v>Publicar informe técnico final en reports/</x:v>
      </x:c>
      <x:c r="D53" s="49" t="str">
        <x:v>R1</x:v>
      </x:c>
      <x:c r="E53" s="49" t="s">
        <x:v>63</x:v>
      </x:c>
      <x:c r="F53" s="49" t="n">
        <x:v>14</x:v>
      </x:c>
      <x:c r="G53" s="49" t="n">
        <x:v>14</x:v>
      </x:c>
      <x:c r="H53" s="51" t="n">
        <x:f aca="0">DATE(2026,8,24)+(G53-1)*7+4-1+TIME(23,59,0)-48/24</x:f>
        <x:v>46350.99930555555</x:v>
      </x:c>
      <x:c r="I53" s="50" t="str">
        <x:v>PDF legible, con referencias y anexos, registrado en main antes del corte.</x:v>
      </x:c>
      <x:c r="J53" s="52" t="s">
        <x:v>119</x:v>
      </x:c>
      <x:c r="K53" s="53" t="n">
        <x:v>0</x:v>
      </x:c>
      <x:c r="L53" s="54" t="str">
        <x:f aca="0">IF(AND(L$3&gt;=$F53,L$3&lt;=$G53),1,"")</x:f>
      </x:c>
      <x:c r="M53" s="54" t="str">
        <x:f aca="0">IF(AND(M$3&gt;=$F53,M$3&lt;=$G53),1,"")</x:f>
      </x:c>
      <x:c r="N53" s="54" t="str">
        <x:f aca="0">IF(AND(N$3&gt;=$F53,N$3&lt;=$G53),1,"")</x:f>
      </x:c>
      <x:c r="O53" s="54" t="str">
        <x:f aca="0">IF(AND(O$3&gt;=$F53,O$3&lt;=$G53),1,"")</x:f>
      </x:c>
      <x:c r="P53" s="54" t="str">
        <x:f aca="0">IF(AND(P$3&gt;=$F53,P$3&lt;=$G53),1,"")</x:f>
      </x:c>
      <x:c r="Q53" s="54" t="str">
        <x:f aca="0">IF(AND(Q$3&gt;=$F53,Q$3&lt;=$G53),1,"")</x:f>
      </x:c>
      <x:c r="R53" s="54" t="str">
        <x:f aca="0">IF(AND(R$3&gt;=$F53,R$3&lt;=$G53),1,"")</x:f>
      </x:c>
      <x:c r="S53" s="54" t="str">
        <x:f aca="0">IF(AND(S$3&gt;=$F53,S$3&lt;=$G53),1,"")</x:f>
      </x:c>
      <x:c r="T53" s="54" t="n">
        <x:f aca="0">IF(AND(T$3&gt;=$F53,T$3&lt;=$G53),1,"")</x:f>
        <x:v>1</x:v>
      </x:c>
      <x:c r="U53" s="54" t="str">
        <x:f aca="0">IF(AND(U$3&gt;=$F53,U$3&lt;=$G53),1,"")</x:f>
      </x:c>
      <x:c r="V53" s="78" t="str">
        <x:v>—</x:v>
      </x:c>
      <x:c r="W53" s="78" t="str">
        <x:v>PDF final del informe en reports/ y enlace al commit.</x:v>
      </x:c>
      <x:c r="X53" s="78" t="str">
        <x:v>PDF T46; anexo T48; referencias T47; fecha de entrega.</x:v>
      </x:c>
      <x:c r="Y53" s="78" t="str">
        <x:v>Comprobar portada, páginas, figuras, referencias y anexo; colocar PDF definitivo en reports/; registrar commit y confirmar apertura del archivo.</x:v>
      </x:c>
      <x:c r="Z53" s="78" t="str">
        <x:v>reports/informe-final.pdf legible y enlace al commit de main antes del corte.</x:v>
      </x:c>
    </x:row>
    <x:row r="54" ht="95" hidden="0" customHeight="1">
      <x:c r="A54" s="49" t="s">
        <x:v>150</x:v>
      </x:c>
      <x:c r="B54" s="49" t="s">
        <x:v>64</x:v>
      </x:c>
      <x:c r="C54" s="50" t="str">
        <x:v>Preparar presentación y guion de exposición</x:v>
      </x:c>
      <x:c r="D54" s="49" t="str">
        <x:v>R6</x:v>
      </x:c>
      <x:c r="E54" s="49" t="s">
        <x:v>40</x:v>
      </x:c>
      <x:c r="F54" s="49" t="n">
        <x:v>15</x:v>
      </x:c>
      <x:c r="G54" s="49" t="n">
        <x:v>15</x:v>
      </x:c>
      <x:c r="H54" s="51" t="n">
        <x:f aca="0">DATE(2026,8,24)+(G54-1)*7+4-1+TIME(23,59,0)-48/24</x:f>
        <x:v>46357.99930555555</x:v>
      </x:c>
      <x:c r="I54" s="50" t="str">
        <x:v>Diapositivas con una conclusión por gráfico y guion asignado a los seis integrantes.</x:v>
      </x:c>
      <x:c r="J54" s="52" t="s">
        <x:v>119</x:v>
      </x:c>
      <x:c r="K54" s="53" t="n">
        <x:v>0</x:v>
      </x:c>
      <x:c r="L54" s="54" t="str">
        <x:f aca="0">IF(AND(L$3&gt;=$F54,L$3&lt;=$G54),1,"")</x:f>
      </x:c>
      <x:c r="M54" s="54" t="str">
        <x:f aca="0">IF(AND(M$3&gt;=$F54,M$3&lt;=$G54),1,"")</x:f>
      </x:c>
      <x:c r="N54" s="54" t="str">
        <x:f aca="0">IF(AND(N$3&gt;=$F54,N$3&lt;=$G54),1,"")</x:f>
      </x:c>
      <x:c r="O54" s="54" t="str">
        <x:f aca="0">IF(AND(O$3&gt;=$F54,O$3&lt;=$G54),1,"")</x:f>
      </x:c>
      <x:c r="P54" s="54" t="str">
        <x:f aca="0">IF(AND(P$3&gt;=$F54,P$3&lt;=$G54),1,"")</x:f>
      </x:c>
      <x:c r="Q54" s="54" t="str">
        <x:f aca="0">IF(AND(Q$3&gt;=$F54,Q$3&lt;=$G54),1,"")</x:f>
      </x:c>
      <x:c r="R54" s="54" t="str">
        <x:f aca="0">IF(AND(R$3&gt;=$F54,R$3&lt;=$G54),1,"")</x:f>
      </x:c>
      <x:c r="S54" s="54" t="str">
        <x:f aca="0">IF(AND(S$3&gt;=$F54,S$3&lt;=$G54),1,"")</x:f>
      </x:c>
      <x:c r="T54" s="54" t="str">
        <x:f aca="0">IF(AND(T$3&gt;=$F54,T$3&lt;=$G54),1,"")</x:f>
      </x:c>
      <x:c r="U54" s="54" t="n">
        <x:f aca="0">IF(AND(U$3&gt;=$F54,U$3&lt;=$G54),1,"")</x:f>
        <x:v>1</x:v>
      </x:c>
      <x:c r="V54" s="78" t="str">
        <x:v>—</x:v>
      </x:c>
      <x:c r="W54" s="78" t="str">
        <x:v>Presentación PPTX/PDF y guion de los seis integrantes.</x:v>
      </x:c>
      <x:c r="X54" s="78" t="str">
        <x:v>Informe T46; figuras T45; demo T51; seis integrantes.</x:v>
      </x:c>
      <x:c r="Y54" s="78" t="str">
        <x:v>Construir diapositivas de problema, método, versiones, validación, 2/4/8/16, riesgo y conclusiones; asignar turnos y tiempos a seis; ensayar con cifras verificadas.</x:v>
      </x:c>
      <x:c r="Z54" s="78" t="str">
        <x:v>presentacion/proyecto-final.pptx y PDF; guion con diapositiva, responsable, duración y mensaje principal.</x:v>
      </x:c>
    </x:row>
    <x:row r="55" ht="95" hidden="0" customHeight="1">
      <x:c r="A55" s="49" t="s">
        <x:v>151</x:v>
      </x:c>
      <x:c r="B55" s="49" t="s">
        <x:v>64</x:v>
      </x:c>
      <x:c r="C55" s="50" t="str">
        <x:v>Probar demostración en clúster y preparar respaldo</x:v>
      </x:c>
      <x:c r="D55" s="49" t="str">
        <x:v>R5</x:v>
      </x:c>
      <x:c r="E55" s="49" t="s">
        <x:v>21</x:v>
      </x:c>
      <x:c r="F55" s="49" t="n">
        <x:v>15</x:v>
      </x:c>
      <x:c r="G55" s="49" t="n">
        <x:v>15</x:v>
      </x:c>
      <x:c r="H55" s="51" t="n">
        <x:f aca="0">DATE(2026,8,24)+(G55-1)*7+4-1+TIME(23,59,0)-48/24</x:f>
        <x:v>46357.99930555555</x:v>
      </x:c>
      <x:c r="I55" s="50" t="str">
        <x:v>Ensayo con log de ejecución y resultados precalculados comprobados el día previo.</x:v>
      </x:c>
      <x:c r="J55" s="52" t="s">
        <x:v>119</x:v>
      </x:c>
      <x:c r="K55" s="53" t="n">
        <x:v>0</x:v>
      </x:c>
      <x:c r="L55" s="54" t="str">
        <x:f aca="0">IF(AND(L$3&gt;=$F55,L$3&lt;=$G55),1,"")</x:f>
      </x:c>
      <x:c r="M55" s="54" t="str">
        <x:f aca="0">IF(AND(M$3&gt;=$F55,M$3&lt;=$G55),1,"")</x:f>
      </x:c>
      <x:c r="N55" s="54" t="str">
        <x:f aca="0">IF(AND(N$3&gt;=$F55,N$3&lt;=$G55),1,"")</x:f>
      </x:c>
      <x:c r="O55" s="54" t="str">
        <x:f aca="0">IF(AND(O$3&gt;=$F55,O$3&lt;=$G55),1,"")</x:f>
      </x:c>
      <x:c r="P55" s="54" t="str">
        <x:f aca="0">IF(AND(P$3&gt;=$F55,P$3&lt;=$G55),1,"")</x:f>
      </x:c>
      <x:c r="Q55" s="54" t="str">
        <x:f aca="0">IF(AND(Q$3&gt;=$F55,Q$3&lt;=$G55),1,"")</x:f>
      </x:c>
      <x:c r="R55" s="54" t="str">
        <x:f aca="0">IF(AND(R$3&gt;=$F55,R$3&lt;=$G55),1,"")</x:f>
      </x:c>
      <x:c r="S55" s="54" t="str">
        <x:f aca="0">IF(AND(S$3&gt;=$F55,S$3&lt;=$G55),1,"")</x:f>
      </x:c>
      <x:c r="T55" s="54" t="str">
        <x:f aca="0">IF(AND(T$3&gt;=$F55,T$3&lt;=$G55),1,"")</x:f>
      </x:c>
      <x:c r="U55" s="54" t="n">
        <x:f aca="0">IF(AND(U$3&gt;=$F55,U$3&lt;=$G55),1,"")</x:f>
        <x:v>1</x:v>
      </x:c>
      <x:c r="V55" s="78" t="str">
        <x:v>scripts/run/demo-cluster.ps1</x:v>
      </x:c>
      <x:c r="W55" s="78" t="str">
        <x:v>PowerShell, log de ensayo y resultados CSV de respaldo.</x:v>
      </x:c>
      <x:c r="X55" s="78" t="str">
        <x:v>Cluster T25; versión etiquetada T44; script demo-cluster.ps1; CSV de respaldo.</x:v>
      </x:c>
      <x:c r="Y55" s="78" t="str">
        <x:v>Ensayar comandos en los tres equipos; medir duración y comprobar resultados; guardar log; preparar salida precalculada y captura por si el entorno falla durante exposición.</x:v>
      </x:c>
      <x:c r="Z55" s="78" t="str">
        <x:v>Log de ensayo fechado, comando único de demo y results/demo/respaldo.csv validado.</x:v>
      </x:c>
    </x:row>
    <x:row r="56" ht="95" hidden="0" customHeight="1">
      <x:c r="A56" s="49" t="s">
        <x:v>152</x:v>
      </x:c>
      <x:c r="B56" s="49" t="s">
        <x:v>64</x:v>
      </x:c>
      <x:c r="C56" s="50" t="str">
        <x:v>Preparar paquete final de informe, repositorio y presentación</x:v>
      </x:c>
      <x:c r="D56" s="49" t="str">
        <x:v>R1</x:v>
      </x:c>
      <x:c r="E56" s="49" t="s">
        <x:v>63</x:v>
      </x:c>
      <x:c r="F56" s="49" t="n">
        <x:v>15</x:v>
      </x:c>
      <x:c r="G56" s="49" t="n">
        <x:v>15</x:v>
      </x:c>
      <x:c r="H56" s="51" t="n">
        <x:f aca="0">DATE(2026,8,24)+(G56-1)*7+4-1+TIME(23,59,0)-48/24</x:f>
        <x:v>46357.99930555555</x:v>
      </x:c>
      <x:c r="I56" s="50" t="str">
        <x:v>Índice de archivos con hashes y enlaces al commit/tag entrega-final.</x:v>
      </x:c>
      <x:c r="J56" s="52" t="s">
        <x:v>119</x:v>
      </x:c>
      <x:c r="K56" s="53" t="n">
        <x:v>0</x:v>
      </x:c>
      <x:c r="L56" s="54" t="str">
        <x:f aca="0">IF(AND(L$3&gt;=$F56,L$3&lt;=$G56),1,"")</x:f>
      </x:c>
      <x:c r="M56" s="54" t="str">
        <x:f aca="0">IF(AND(M$3&gt;=$F56,M$3&lt;=$G56),1,"")</x:f>
      </x:c>
      <x:c r="N56" s="54" t="str">
        <x:f aca="0">IF(AND(N$3&gt;=$F56,N$3&lt;=$G56),1,"")</x:f>
      </x:c>
      <x:c r="O56" s="54" t="str">
        <x:f aca="0">IF(AND(O$3&gt;=$F56,O$3&lt;=$G56),1,"")</x:f>
      </x:c>
      <x:c r="P56" s="54" t="str">
        <x:f aca="0">IF(AND(P$3&gt;=$F56,P$3&lt;=$G56),1,"")</x:f>
      </x:c>
      <x:c r="Q56" s="54" t="str">
        <x:f aca="0">IF(AND(Q$3&gt;=$F56,Q$3&lt;=$G56),1,"")</x:f>
      </x:c>
      <x:c r="R56" s="54" t="str">
        <x:f aca="0">IF(AND(R$3&gt;=$F56,R$3&lt;=$G56),1,"")</x:f>
      </x:c>
      <x:c r="S56" s="54" t="str">
        <x:f aca="0">IF(AND(S$3&gt;=$F56,S$3&lt;=$G56),1,"")</x:f>
      </x:c>
      <x:c r="T56" s="54" t="str">
        <x:f aca="0">IF(AND(T$3&gt;=$F56,T$3&lt;=$G56),1,"")</x:f>
      </x:c>
      <x:c r="U56" s="54" t="n">
        <x:f aca="0">IF(AND(U$3&gt;=$F56,U$3&lt;=$G56),1,"")</x:f>
        <x:v>1</x:v>
      </x:c>
      <x:c r="V56" s="78" t="str">
        <x:v>—</x:v>
      </x:c>
      <x:c r="W56" s="78" t="str">
        <x:v>Manifiesto MD con rutas, hashes, commit/tag y enlaces al paquete final.</x:v>
      </x:c>
      <x:c r="X56" s="78" t="str">
        <x:v>Tag T44; PDF T49; diapositivas T50; demo T51.</x:v>
      </x:c>
      <x:c r="Y56" s="78" t="str">
        <x:v>Enumerar archivos finales; calcular SHA-256; verificar rutas y enlaces; registrar commit/tag y comprobar que paquete se abre en equipo distinto.</x:v>
      </x:c>
      <x:c r="Z56" s="78" t="str">
        <x:v>docs/manifiesto-entrega.md con ruta, hash, versión y enlace de cada artefacto.</x:v>
      </x:c>
    </x:row>
    <x:row r="57" ht="95" hidden="0" customHeight="1">
      <x:c r="A57" s="49" t="s">
        <x:v>153</x:v>
      </x:c>
      <x:c r="B57" s="49" t="s">
        <x:v>64</x:v>
      </x:c>
      <x:c r="C57" s="50" t="str">
        <x:v>Exponer el proyecto y registrar preguntas y respuestas</x:v>
      </x:c>
      <x:c r="D57" s="49" t="str">
        <x:v>R1</x:v>
      </x:c>
      <x:c r="E57" s="49" t="s">
        <x:v>63</x:v>
      </x:c>
      <x:c r="F57" s="49" t="n">
        <x:f aca="0">15</x:f>
        <x:v>15</x:v>
      </x:c>
      <x:c r="G57" s="49" t="n">
        <x:f aca="0">15</x:f>
        <x:v>15</x:v>
      </x:c>
      <x:c r="H57" s="58" t="n">
        <x:f aca="0">DATE(2026,8,24)+(G57-1)*7+4-1</x:f>
        <x:v>46359</x:v>
      </x:c>
      <x:c r="I57" s="50" t="str">
        <x:v>Acta interna con fecha, participantes, demostración realizada y preguntas recibidas.</x:v>
      </x:c>
      <x:c r="J57" s="52" t="s">
        <x:v>119</x:v>
      </x:c>
      <x:c r="K57" s="53" t="n">
        <x:v>0</x:v>
      </x:c>
      <x:c r="L57" s="54" t="str">
        <x:f aca="0">IF(AND(L$3&gt;=$F57,L$3&lt;=$G57),1,"")</x:f>
      </x:c>
      <x:c r="M57" s="54" t="str">
        <x:f aca="0">IF(AND(M$3&gt;=$F57,M$3&lt;=$G57),1,"")</x:f>
      </x:c>
      <x:c r="N57" s="54" t="str">
        <x:f aca="0">IF(AND(N$3&gt;=$F57,N$3&lt;=$G57),1,"")</x:f>
      </x:c>
      <x:c r="O57" s="54" t="str">
        <x:f aca="0">IF(AND(O$3&gt;=$F57,O$3&lt;=$G57),1,"")</x:f>
      </x:c>
      <x:c r="P57" s="54" t="str">
        <x:f aca="0">IF(AND(P$3&gt;=$F57,P$3&lt;=$G57),1,"")</x:f>
      </x:c>
      <x:c r="Q57" s="54" t="str">
        <x:f aca="0">IF(AND(Q$3&gt;=$F57,Q$3&lt;=$G57),1,"")</x:f>
      </x:c>
      <x:c r="R57" s="54" t="str">
        <x:f aca="0">IF(AND(R$3&gt;=$F57,R$3&lt;=$G57),1,"")</x:f>
      </x:c>
      <x:c r="S57" s="54" t="str">
        <x:f aca="0">IF(AND(S$3&gt;=$F57,S$3&lt;=$G57),1,"")</x:f>
      </x:c>
      <x:c r="T57" s="54" t="str">
        <x:f aca="0">IF(AND(T$3&gt;=$F57,T$3&lt;=$G57),1,"")</x:f>
      </x:c>
      <x:c r="U57" s="54" t="n">
        <x:f aca="0">IF(AND(U$3&gt;=$F57,U$3&lt;=$G57),1,"")</x:f>
        <x:v>1</x:v>
      </x:c>
      <x:c r="V57" s="78" t="str">
        <x:v>—</x:v>
      </x:c>
      <x:c r="W57" s="78" t="str">
        <x:v>Acta MD de exposición: fecha, participantes, demo y preguntas.</x:v>
      </x:c>
      <x:c r="X57" s="78" t="str">
        <x:v>Guion T50; demo T51; asistentes y fecha de exposición.</x:v>
      </x:c>
      <x:c r="Y57" s="78" t="str">
        <x:v>Registrar quién presentó cada sección, si demo corrió y con qué configuración; anotar preguntas y respuestas textuales breves; enlazar versión mostrada.</x:v>
      </x:c>
      <x:c r="Z57" s="78" t="str">
        <x:v>docs/acta-exposicion-final.md con fecha, seis participantes, demo, preguntas y commit/tag.</x:v>
      </x:c>
    </x:row>
    <x:row r="59" ht="15" hidden="0">
      <x:c r="C59" s="59" t="s">
        <x:v>154</x:v>
      </x:c>
    </x:row>
    <x:row r="60" ht="15" hidden="0">
      <x:c r="D60" s="60"/>
      <x:c r="E60" s="61" t="s">
        <x:v>155</x:v>
      </x:c>
    </x:row>
    <x:row r="61" ht="15" hidden="0">
      <x:c r="D61" s="62"/>
      <x:c r="E61" s="61" t="s">
        <x:v>156</x:v>
      </x:c>
    </x:row>
    <x:row r="62" ht="15" hidden="0">
      <x:c r="D62" s="63"/>
      <x:c r="E62" s="61" t="s">
        <x:v>157</x:v>
      </x:c>
    </x:row>
    <x:row r="63" ht="15" hidden="0">
      <x:c r="D63" s="64"/>
      <x:c r="E63" s="61" t="s">
        <x:v>158</x:v>
      </x:c>
    </x:row>
    <x:row r="64" ht="15" hidden="0">
      <x:c r="D64" s="65"/>
      <x:c r="E64" s="61" t="s">
        <x:v>159</x:v>
      </x:c>
    </x:row>
    <x:row r="65" ht="15" hidden="0">
      <x:c r="D65" s="66"/>
      <x:c r="E65" s="61" t="s">
        <x:v>160</x:v>
      </x:c>
    </x:row>
    <x:row r="66" ht="15" hidden="0">
      <x:c r="D66" s="67"/>
      <x:c r="E66" s="61" t="s">
        <x:v>161</x:v>
      </x:c>
    </x:row>
  </x:sheetData>
  <x:conditionalFormatting sqref="J5:J57">
    <x:cfRule type="cellIs" dxfId="2" priority="2" aboveAverage="0" percent="0" bottom="0" operator="equal" rank="0" equalAverage="0">
      <x:formula>"Completado"</x:formula>
    </x:cfRule>
    <x:cfRule type="cellIs" dxfId="3" priority="3" aboveAverage="0" percent="0" bottom="0" operator="equal" rank="0" equalAverage="0">
      <x:formula>"En curso"</x:formula>
    </x:cfRule>
    <x:cfRule type="cellIs" dxfId="1" priority="4" aboveAverage="0" percent="0" bottom="0" operator="equal" rank="0" equalAverage="0">
      <x:formula>"En riesgo"</x:formula>
    </x:cfRule>
    <x:cfRule type="cellIs" dxfId="0" priority="5" aboveAverage="0" percent="0" bottom="0" operator="equal" rank="0" equalAverage="0">
      <x:formula>"Atrasado"</x:formula>
    </x:cfRule>
  </x:conditionalFormatting>
  <x:conditionalFormatting sqref="K5:K57">
    <x:cfRule type="dataBar" priority="6">
      <x:dataBar minLength="10" maxLength="90" showValue="1">
        <x:cfvo type="num" val="0"/>
        <x:cfvo type="num" val="1"/>
        <x:color rgb="FF5B9BD5"/>
      </x:dataBar>
      <x:extLst>
        <x:ext xmlns:x14="http://schemas.microsoft.com/office/spreadsheetml/2009/9/main" uri="{B025F937-C7B1-47D3-B67F-A62EFF666E3E}">
          <x14:id>{7931F0A2-41F0-4D3B-A32A-62EED510DCAE}</x14:id>
        </x:ext>
      </x:extLst>
    </x:cfRule>
  </x:conditionalFormatting>
  <x:conditionalFormatting sqref="L5:U57">
    <x:cfRule type="expression" dxfId="6" priority="7" aboveAverage="0" percent="0" bottom="0" rank="0" equalAverage="0">
      <x:formula>AND(L5=1,$J5="Completado")</x:formula>
    </x:cfRule>
    <x:cfRule type="expression" dxfId="7" priority="8" aboveAverage="0" percent="0" bottom="0" rank="0" equalAverage="0">
      <x:formula>AND(L5=1,$J5="En riesgo")</x:formula>
    </x:cfRule>
    <x:cfRule type="expression" dxfId="8" priority="9" aboveAverage="0" percent="0" bottom="0" rank="0" equalAverage="0">
      <x:formula>AND(L5=1,TODAY()&gt;$H5,$J5&lt;&gt;"Completado")</x:formula>
    </x:cfRule>
    <x:cfRule type="expression" dxfId="9" priority="10" aboveAverage="0" percent="0" bottom="0" rank="0" equalAverage="0">
      <x:formula>AND(L5=1,LEFT($B5,3)="EXT")</x:formula>
    </x:cfRule>
    <x:cfRule type="expression" dxfId="10" priority="11" aboveAverage="0" percent="0" bottom="0" rank="0" equalAverage="0">
      <x:formula>L5=1</x:formula>
    </x:cfRule>
    <x:cfRule type="expression" dxfId="11" priority="12" aboveAverage="0" percent="0" bottom="0" rank="0" equalAverage="0">
      <x:formula>INT((TODAY()-Parámetros!$B$5)/7)+1=L$3</x:formula>
    </x:cfRule>
  </x:conditionalFormatting>
  <x:dataValidations count="2">
    <x:dataValidation type="list" errorStyle="stop" operator="between" allowBlank="0" showDropDown="0" showInputMessage="0" showErrorMessage="1" errorTitle="Estado inválido" error="Elija un estado de la lista." sqref="J5:J57">
      <x:formula1>"No iniciado,En curso,En riesgo,Completado"</x:formula1>
      <x:formula2>0</x:formula2>
    </x:dataValidation>
    <x:dataValidation type="decimal" errorStyle="stop" operator="between" allowBlank="0" showDropDown="0" showInputMessage="0" showErrorMessage="1" errorTitle="Valor inválido" error="Ingrese un porcentaje entre 0 % y 100 %." sqref="K5:K57">
      <x:formula1>0</x:formula1>
      <x:formula2>1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7931F0A2-41F0-4D3B-A32A-62EED510DCAE}">
            <x14:dataBar minLength="10" maxLength="90" showValue="1" gradient="1">
              <x14:cfvo type="num">
                <xm:f>0</xm:f>
              </x14:cfvo>
              <x14:cfvo type="num">
                <xm:f>1</xm:f>
              </x14:cfvo>
              <x14:fillColor rgb="FF5B9BD5"/>
              <x14:negativeFillColor rgb="FF5B9BD5"/>
              <x14:axisColor rgb="FF000000"/>
            </x14:dataBar>
          </x14:cfRule>
          <xm:sqref>K5:K57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8.6796875" defaultRowHeight="15"/>
  <x:cols>
    <x:col min="1" max="1" width="6" hidden="0" customWidth="1"/>
    <x:col min="2" max="2" width="34" hidden="0" customWidth="1"/>
    <x:col min="3" max="3" width="7" hidden="0" customWidth="1"/>
    <x:col min="4" max="4" width="8" hidden="0" customWidth="1"/>
    <x:col min="5" max="5" width="7" hidden="0" customWidth="1"/>
    <x:col min="6" max="6" width="12" hidden="0" customWidth="1"/>
    <x:col min="7" max="7" width="38" hidden="0" customWidth="1"/>
    <x:col min="8" max="8" width="30" hidden="0" customWidth="1"/>
    <x:col min="9" max="9" width="9" hidden="0" customWidth="1"/>
    <x:col min="10" max="10" width="38" hidden="0" customWidth="1"/>
    <x:col min="11" max="11" width="7" hidden="0" customWidth="1"/>
    <x:col min="12" max="12" width="12" hidden="0" customWidth="1"/>
  </x:cols>
  <x:sheetData>
    <x:row r="1" ht="25.5" hidden="0" customHeight="1">
      <x:c r="A1" s="19" t="s">
        <x:v>162</x:v>
      </x:c>
    </x:row>
    <x:row r="2" ht="15" hidden="0">
      <x:c r="A2" s="20" t="s">
        <x:v>163</x:v>
      </x:c>
    </x:row>
    <x:row r="4" ht="36" hidden="0" customHeight="1">
      <x:c r="A4" s="4" t="s">
        <x:v>2</x:v>
      </x:c>
      <x:c r="B4" s="4" t="s">
        <x:v>164</x:v>
      </x:c>
      <x:c r="C4" s="4" t="s">
        <x:v>165</x:v>
      </x:c>
      <x:c r="D4" s="4" t="s">
        <x:v>166</x:v>
      </x:c>
      <x:c r="E4" s="4" t="s">
        <x:v>167</x:v>
      </x:c>
      <x:c r="F4" s="4" t="s">
        <x:v>168</x:v>
      </x:c>
      <x:c r="G4" s="4" t="s">
        <x:v>169</x:v>
      </x:c>
      <x:c r="H4" s="4" t="s">
        <x:v>170</x:v>
      </x:c>
      <x:c r="I4" s="4" t="s">
        <x:v>171</x:v>
      </x:c>
      <x:c r="J4" s="4" t="s">
        <x:v>172</x:v>
      </x:c>
      <x:c r="K4" s="4" t="s">
        <x:v>85</x:v>
      </x:c>
      <x:c r="L4" s="4" t="s">
        <x:v>16</x:v>
      </x:c>
    </x:row>
    <x:row r="5" ht="42" hidden="0" customHeight="1">
      <x:c r="A5" s="49" t="s">
        <x:v>173</x:v>
      </x:c>
      <x:c r="B5" s="50" t="s">
        <x:v>174</x:v>
      </x:c>
      <x:c r="C5" s="70" t="n">
        <x:v>2</x:v>
      </x:c>
      <x:c r="D5" s="70" t="n">
        <x:v>3</x:v>
      </x:c>
      <x:c r="E5" s="49" t="n">
        <x:f aca="0">C5*D5</x:f>
        <x:v>6</x:v>
      </x:c>
      <x:c r="F5" s="49" t="str">
        <x:f aca="0">IF(E5&gt;=6,"Alto",IF(E5&gt;=3,"Medio","Bajo"))</x:f>
        <x:v>Alto</x:v>
      </x:c>
      <x:c r="G5" s="50" t="s">
        <x:v>175</x:v>
      </x:c>
      <x:c r="H5" s="50" t="s">
        <x:v>176</x:v>
      </x:c>
      <x:c r="I5" s="49" t="n">
        <x:v>10</x:v>
      </x:c>
      <x:c r="J5" s="50" t="s">
        <x:v>177</x:v>
      </x:c>
      <x:c r="K5" s="49" t="s">
        <x:v>40</x:v>
      </x:c>
      <x:c r="L5" s="70" t="s">
        <x:v>178</x:v>
      </x:c>
    </x:row>
    <x:row r="6" ht="42" hidden="0" customHeight="1">
      <x:c r="A6" s="49" t="s">
        <x:v>179</x:v>
      </x:c>
      <x:c r="B6" s="50" t="s">
        <x:v>180</x:v>
      </x:c>
      <x:c r="C6" s="70" t="n">
        <x:v>2</x:v>
      </x:c>
      <x:c r="D6" s="70" t="n">
        <x:v>2</x:v>
      </x:c>
      <x:c r="E6" s="49" t="n">
        <x:f aca="0">C6*D6</x:f>
        <x:v>4</x:v>
      </x:c>
      <x:c r="F6" s="49" t="str">
        <x:f aca="0">IF(E6&gt;=6,"Alto",IF(E6&gt;=3,"Medio","Bajo"))</x:f>
        <x:v>Medio</x:v>
      </x:c>
      <x:c r="G6" s="50" t="s">
        <x:v>181</x:v>
      </x:c>
      <x:c r="H6" s="50" t="s">
        <x:v>182</x:v>
      </x:c>
      <x:c r="I6" s="49" t="n">
        <x:v>9</x:v>
      </x:c>
      <x:c r="J6" s="50" t="s">
        <x:v>183</x:v>
      </x:c>
      <x:c r="K6" s="49" t="s">
        <x:v>74</x:v>
      </x:c>
      <x:c r="L6" s="70" t="s">
        <x:v>178</x:v>
      </x:c>
    </x:row>
    <x:row r="7" ht="42" hidden="0" customHeight="1">
      <x:c r="A7" s="49" t="s">
        <x:v>184</x:v>
      </x:c>
      <x:c r="B7" s="50" t="s">
        <x:v>185</x:v>
      </x:c>
      <x:c r="C7" s="70" t="n">
        <x:v>2</x:v>
      </x:c>
      <x:c r="D7" s="70" t="n">
        <x:v>2</x:v>
      </x:c>
      <x:c r="E7" s="49" t="n">
        <x:f aca="0">C7*D7</x:f>
        <x:v>4</x:v>
      </x:c>
      <x:c r="F7" s="49" t="str">
        <x:f aca="0">IF(E7&gt;=6,"Alto",IF(E7&gt;=3,"Medio","Bajo"))</x:f>
        <x:v>Medio</x:v>
      </x:c>
      <x:c r="G7" s="50" t="s">
        <x:v>186</x:v>
      </x:c>
      <x:c r="H7" s="50" t="s">
        <x:v>187</x:v>
      </x:c>
      <x:c r="I7" s="49" t="n">
        <x:v>6</x:v>
      </x:c>
      <x:c r="J7" s="50" t="s">
        <x:v>188</x:v>
      </x:c>
      <x:c r="K7" s="49" t="s">
        <x:v>28</x:v>
      </x:c>
      <x:c r="L7" s="70" t="s">
        <x:v>178</x:v>
      </x:c>
    </x:row>
    <x:row r="8" ht="42" hidden="0" customHeight="1">
      <x:c r="A8" s="49" t="s">
        <x:v>189</x:v>
      </x:c>
      <x:c r="B8" s="50" t="s">
        <x:v>190</x:v>
      </x:c>
      <x:c r="C8" s="70" t="n">
        <x:v>1</x:v>
      </x:c>
      <x:c r="D8" s="70" t="n">
        <x:v>3</x:v>
      </x:c>
      <x:c r="E8" s="49" t="n">
        <x:f aca="0">C8*D8</x:f>
        <x:v>3</x:v>
      </x:c>
      <x:c r="F8" s="49" t="str">
        <x:f aca="0">IF(E8&gt;=6,"Alto",IF(E8&gt;=3,"Medio","Bajo"))</x:f>
        <x:v>Medio</x:v>
      </x:c>
      <x:c r="G8" s="50" t="s">
        <x:v>191</x:v>
      </x:c>
      <x:c r="H8" s="50" t="s">
        <x:v>192</x:v>
      </x:c>
      <x:c r="I8" s="49" t="n">
        <x:v>8</x:v>
      </x:c>
      <x:c r="J8" s="50" t="s">
        <x:v>193</x:v>
      </x:c>
      <x:c r="K8" s="49" t="s">
        <x:v>32</x:v>
      </x:c>
      <x:c r="L8" s="70" t="s">
        <x:v>178</x:v>
      </x:c>
    </x:row>
    <x:row r="9" ht="42" hidden="0" customHeight="1">
      <x:c r="A9" s="49" t="s">
        <x:v>194</x:v>
      </x:c>
      <x:c r="B9" s="50" t="str">
        <x:v>Feriado S07 y examen parcial S08 reducen tiempo de integración</x:v>
      </x:c>
      <x:c r="C9" s="70" t="n">
        <x:v>3</x:v>
      </x:c>
      <x:c r="D9" s="70" t="n">
        <x:v>2</x:v>
      </x:c>
      <x:c r="E9" s="49" t="n">
        <x:f aca="0">C9*D9</x:f>
        <x:v>6</x:v>
      </x:c>
      <x:c r="F9" s="49" t="str">
        <x:f aca="0">IF(E9&gt;=6,"Alto",IF(E9&gt;=3,"Medio","Bajo"))</x:f>
        <x:v>Alto</x:v>
      </x:c>
      <x:c r="G9" s="50" t="str">
        <x:v>Trabajo asincrónico y cierre interno de archivos con evidencia antes de cada corte.</x:v>
      </x:c>
      <x:c r="H9" s="50" t="str">
        <x:v>Falta algún archivo o prueba del hito al iniciar S08</x:v>
      </x:c>
      <x:c r="I9" s="49" t="n">
        <x:v>6</x:v>
      </x:c>
      <x:c r="J9" s="50" t="str">
        <x:v>Registrar faltantes y ejecutar recuperación interna por responsable.</x:v>
      </x:c>
      <x:c r="K9" s="49" t="s">
        <x:v>21</x:v>
      </x:c>
      <x:c r="L9" s="70" t="s">
        <x:v>178</x:v>
      </x:c>
    </x:row>
    <x:row r="10" ht="42" hidden="0" customHeight="1">
      <x:c r="A10" s="49" t="s">
        <x:v>195</x:v>
      </x:c>
      <x:c r="B10" s="50" t="s">
        <x:v>196</x:v>
      </x:c>
      <x:c r="C10" s="70" t="n">
        <x:v>3</x:v>
      </x:c>
      <x:c r="D10" s="70" t="n">
        <x:v>2</x:v>
      </x:c>
      <x:c r="E10" s="49" t="n">
        <x:f aca="0">C10*D10</x:f>
        <x:v>6</x:v>
      </x:c>
      <x:c r="F10" s="49" t="str">
        <x:f aca="0">IF(E10&gt;=6,"Alto",IF(E10&gt;=3,"Medio","Bajo"))</x:f>
        <x:v>Alto</x:v>
      </x:c>
      <x:c r="G10" s="50" t="s">
        <x:v>197</x:v>
      </x:c>
      <x:c r="H10" s="50" t="s">
        <x:v>198</x:v>
      </x:c>
      <x:c r="I10" s="49" t="n">
        <x:v>8</x:v>
      </x:c>
      <x:c r="J10" s="50" t="s">
        <x:v>199</x:v>
      </x:c>
      <x:c r="K10" s="49" t="s">
        <x:v>21</x:v>
      </x:c>
      <x:c r="L10" s="70" t="s">
        <x:v>178</x:v>
      </x:c>
    </x:row>
    <x:row r="11" ht="42" hidden="0" customHeight="1">
      <x:c r="A11" s="49" t="s">
        <x:v>200</x:v>
      </x:c>
      <x:c r="B11" s="50" t="s">
        <x:v>201</x:v>
      </x:c>
      <x:c r="C11" s="70" t="n">
        <x:v>2</x:v>
      </x:c>
      <x:c r="D11" s="70" t="n">
        <x:v>3</x:v>
      </x:c>
      <x:c r="E11" s="49" t="n">
        <x:f aca="0">C11*D11</x:f>
        <x:v>6</x:v>
      </x:c>
      <x:c r="F11" s="49" t="str">
        <x:f aca="0">IF(E11&gt;=6,"Alto",IF(E11&gt;=3,"Medio","Bajo"))</x:f>
        <x:v>Alto</x:v>
      </x:c>
      <x:c r="G11" s="50" t="s">
        <x:v>202</x:v>
      </x:c>
      <x:c r="H11" s="50" t="s">
        <x:v>203</x:v>
      </x:c>
      <x:c r="I11" s="49" t="n">
        <x:v>6</x:v>
      </x:c>
      <x:c r="J11" s="50" t="s">
        <x:v>204</x:v>
      </x:c>
      <x:c r="K11" s="49" t="s">
        <x:v>21</x:v>
      </x:c>
      <x:c r="L11" s="70" t="s">
        <x:v>178</x:v>
      </x:c>
    </x:row>
    <x:row r="12" ht="42" hidden="0" customHeight="1">
      <x:c r="A12" s="49" t="s">
        <x:v>205</x:v>
      </x:c>
      <x:c r="B12" s="50" t="str">
        <x:v>Volumen de datos o uso de GPU insuficiente para el objetivo</x:v>
      </x:c>
      <x:c r="C12" s="70" t="n">
        <x:v>1</x:v>
      </x:c>
      <x:c r="D12" s="70" t="n">
        <x:v>2</x:v>
      </x:c>
      <x:c r="E12" s="49" t="n">
        <x:f aca="0">C12*D12</x:f>
        <x:v>2</x:v>
      </x:c>
      <x:c r="F12" s="49" t="str">
        <x:f aca="0">IF(E12&gt;=6,"Alto",IF(E12&gt;=3,"Medio","Bajo"))</x:f>
        <x:v>Bajo</x:v>
      </x:c>
      <x:c r="G12" s="50" t="str">
        <x:v>N parametrizable y criterio interno de activación CUDA en S10.</x:v>
      </x:c>
      <x:c r="H12" s="50" t="str">
        <x:v>Revisión interna de E5 y de la rúbrica</x:v>
      </x:c>
      <x:c r="I12" s="49" t="n">
        <x:v>7</x:v>
      </x:c>
      <x:c r="J12" s="50" t="s">
        <x:v>206</x:v>
      </x:c>
      <x:c r="K12" s="49" t="s">
        <x:v>21</x:v>
      </x:c>
      <x:c r="L12" s="70" t="s">
        <x:v>178</x:v>
      </x:c>
    </x:row>
    <x:row r="13" ht="42" hidden="0" customHeight="1">
      <x:c r="A13" s="49" t="s">
        <x:v>207</x:v>
      </x:c>
      <x:c r="B13" s="50" t="s">
        <x:v>208</x:v>
      </x:c>
      <x:c r="C13" s="70" t="n">
        <x:v>1</x:v>
      </x:c>
      <x:c r="D13" s="70" t="n">
        <x:v>2</x:v>
      </x:c>
      <x:c r="E13" s="49" t="n">
        <x:f aca="0">C13*D13</x:f>
        <x:v>2</x:v>
      </x:c>
      <x:c r="F13" s="49" t="str">
        <x:f aca="0">IF(E13&gt;=6,"Alto",IF(E13&gt;=3,"Medio","Bajo"))</x:f>
        <x:v>Bajo</x:v>
      </x:c>
      <x:c r="G13" s="50" t="s">
        <x:v>209</x:v>
      </x:c>
      <x:c r="H13" s="50" t="s">
        <x:v>210</x:v>
      </x:c>
      <x:c r="I13" s="49" t="n">
        <x:v>11</x:v>
      </x:c>
      <x:c r="J13" s="50" t="s">
        <x:v>211</x:v>
      </x:c>
      <x:c r="K13" s="49" t="s">
        <x:v>40</x:v>
      </x:c>
      <x:c r="L13" s="70" t="s">
        <x:v>178</x:v>
      </x:c>
    </x:row>
    <x:row r="14" ht="42" hidden="0" customHeight="1">
      <x:c r="A14" s="49" t="s">
        <x:v>212</x:v>
      </x:c>
      <x:c r="B14" s="50" t="s">
        <x:v>213</x:v>
      </x:c>
      <x:c r="C14" s="70" t="n">
        <x:v>2</x:v>
      </x:c>
      <x:c r="D14" s="70" t="n">
        <x:v>1</x:v>
      </x:c>
      <x:c r="E14" s="49" t="n">
        <x:f aca="0">C14*D14</x:f>
        <x:v>2</x:v>
      </x:c>
      <x:c r="F14" s="49" t="str">
        <x:f aca="0">IF(E14&gt;=6,"Alto",IF(E14&gt;=3,"Medio","Bajo"))</x:f>
        <x:v>Bajo</x:v>
      </x:c>
      <x:c r="G14" s="50" t="s">
        <x:v>214</x:v>
      </x:c>
      <x:c r="H14" s="50" t="s">
        <x:v>215</x:v>
      </x:c>
      <x:c r="I14" s="49" t="n">
        <x:v>11</x:v>
      </x:c>
      <x:c r="J14" s="50" t="s">
        <x:v>216</x:v>
      </x:c>
      <x:c r="K14" s="49" t="s">
        <x:v>74</x:v>
      </x:c>
      <x:c r="L14" s="70" t="s">
        <x:v>178</x:v>
      </x:c>
    </x:row>
    <x:row r="15" ht="42" hidden="0" customHeight="1">
      <x:c r="A15" s="49" t="s">
        <x:v>217</x:v>
      </x:c>
      <x:c r="B15" s="50" t="str">
        <x:v>El equipo decide ampliar el análisis con datos de entrada</x:v>
      </x:c>
      <x:c r="C15" s="70" t="n">
        <x:v>2</x:v>
      </x:c>
      <x:c r="D15" s="70" t="n">
        <x:v>2</x:v>
      </x:c>
      <x:c r="E15" s="49" t="n">
        <x:f aca="0">C15*D15</x:f>
        <x:v>4</x:v>
      </x:c>
      <x:c r="F15" s="49" t="str">
        <x:f aca="0">IF(E15&gt;=6,"Alto",IF(E15&gt;=3,"Medio","Bajo"))</x:f>
        <x:v>Medio</x:v>
      </x:c>
      <x:c r="G15" s="50" t="str">
        <x:v>Evaluar PISCOp como extensión sin desplazar el núcleo.</x:v>
      </x:c>
      <x:c r="H15" s="50" t="str">
        <x:v>Estimación interna de costo y utilidad de PISCOp</x:v>
      </x:c>
      <x:c r="I15" s="49" t="n">
        <x:v>7</x:v>
      </x:c>
      <x:c r="J15" s="50" t="s">
        <x:v>218</x:v>
      </x:c>
      <x:c r="K15" s="49" t="s">
        <x:v>28</x:v>
      </x:c>
      <x:c r="L15" s="70" t="s">
        <x:v>178</x:v>
      </x:c>
    </x:row>
    <x:row r="16" ht="42" hidden="0" customHeight="1">
      <x:c r="A16" s="49" t="s">
        <x:v>219</x:v>
      </x:c>
      <x:c r="B16" s="50" t="s">
        <x:v>220</x:v>
      </x:c>
      <x:c r="C16" s="70" t="n">
        <x:v>2</x:v>
      </x:c>
      <x:c r="D16" s="70" t="n">
        <x:v>2</x:v>
      </x:c>
      <x:c r="E16" s="49" t="n">
        <x:f aca="0">C16*D16</x:f>
        <x:v>4</x:v>
      </x:c>
      <x:c r="F16" s="49" t="str">
        <x:f aca="0">IF(E16&gt;=6,"Alto",IF(E16&gt;=3,"Medio","Bajo"))</x:f>
        <x:v>Medio</x:v>
      </x:c>
      <x:c r="G16" s="50" t="s">
        <x:v>221</x:v>
      </x:c>
      <x:c r="H16" s="50" t="s">
        <x:v>222</x:v>
      </x:c>
      <x:c r="I16" s="49" t="n">
        <x:v>7</x:v>
      </x:c>
      <x:c r="J16" s="50" t="s">
        <x:v>223</x:v>
      </x:c>
      <x:c r="K16" s="49" t="s">
        <x:v>40</x:v>
      </x:c>
      <x:c r="L16" s="70" t="s">
        <x:v>178</x:v>
      </x:c>
    </x:row>
    <x:row r="17" ht="42" hidden="0" customHeight="1">
      <x:c r="A17" s="49" t="s">
        <x:v>224</x:v>
      </x:c>
      <x:c r="B17" s="50" t="s">
        <x:v>225</x:v>
      </x:c>
      <x:c r="C17" s="70" t="n">
        <x:v>2</x:v>
      </x:c>
      <x:c r="D17" s="70" t="n">
        <x:v>3</x:v>
      </x:c>
      <x:c r="E17" s="49" t="n">
        <x:f aca="0">C17*D17</x:f>
        <x:v>6</x:v>
      </x:c>
      <x:c r="F17" s="49" t="str">
        <x:f aca="0">IF(E17&gt;=6,"Alto",IF(E17&gt;=3,"Medio","Bajo"))</x:f>
        <x:v>Alto</x:v>
      </x:c>
      <x:c r="G17" s="50" t="s">
        <x:v>226</x:v>
      </x:c>
      <x:c r="H17" s="50" t="s">
        <x:v>227</x:v>
      </x:c>
      <x:c r="I17" s="49" t="n">
        <x:v>15</x:v>
      </x:c>
      <x:c r="J17" s="50" t="s">
        <x:v>228</x:v>
      </x:c>
      <x:c r="K17" s="49" t="s">
        <x:v>40</x:v>
      </x:c>
      <x:c r="L17" s="70" t="s">
        <x:v>178</x:v>
      </x:c>
    </x:row>
  </x:sheetData>
  <x:conditionalFormatting sqref="F5:F17">
    <x:cfRule type="cellIs" dxfId="0" priority="2" aboveAverage="0" percent="0" bottom="0" operator="equal" rank="0" equalAverage="0">
      <x:formula>"Alto"</x:formula>
    </x:cfRule>
    <x:cfRule type="cellIs" dxfId="1" priority="3" aboveAverage="0" percent="0" bottom="0" operator="equal" rank="0" equalAverage="0">
      <x:formula>"Medio"</x:formula>
    </x:cfRule>
    <x:cfRule type="cellIs" dxfId="2" priority="4" aboveAverage="0" percent="0" bottom="0" operator="equal" rank="0" equalAverage="0">
      <x:formula>"Bajo"</x:formula>
    </x:cfRule>
  </x:conditionalFormatting>
  <x:dataValidations count="2">
    <x:dataValidation type="whole" errorStyle="stop" operator="between" allowBlank="0" showDropDown="0" showInputMessage="0" showErrorMessage="0" sqref="C5:D17">
      <x:formula1>1</x:formula1>
      <x:formula2>3</x:formula2>
    </x:dataValidation>
    <x:dataValidation type="list" errorStyle="stop" operator="between" allowBlank="0" showDropDown="0" showInputMessage="0" showErrorMessage="0" sqref="L5:L17">
      <x:formula1>"Abierto,Materializado,Cerrado"</x:formula1>
      <x:formula2>0</x:formula2>
    </x:dataValidation>
  </x:dataValidations>
  <x:pageMargins left="0.7" right="0.7" top="0.75" bottom="0.75" header="0.3" footer="0.3"/>
</x:worksheet>
</file>